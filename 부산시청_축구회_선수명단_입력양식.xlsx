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SER\Desktop\5기 김용걸\3일차\포메이션\"/>
    </mc:Choice>
  </mc:AlternateContent>
  <xr:revisionPtr revIDLastSave="0" documentId="13_ncr:1_{5E71ED9A-F700-4BFD-ACFA-344CE740837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선수단_명단_입력양식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45" i="1" l="1"/>
  <c r="O45" i="1"/>
  <c r="P44" i="1"/>
  <c r="O44" i="1"/>
  <c r="P43" i="1"/>
  <c r="O43" i="1"/>
  <c r="P42" i="1"/>
  <c r="O42" i="1"/>
  <c r="P41" i="1"/>
  <c r="O41" i="1"/>
  <c r="P40" i="1"/>
  <c r="O40" i="1"/>
  <c r="P39" i="1"/>
  <c r="O39" i="1"/>
  <c r="P38" i="1"/>
  <c r="O38" i="1"/>
  <c r="P37" i="1"/>
  <c r="O37" i="1"/>
  <c r="P36" i="1"/>
  <c r="O36" i="1"/>
  <c r="P35" i="1"/>
  <c r="O35" i="1"/>
  <c r="P34" i="1"/>
  <c r="O34" i="1"/>
  <c r="P33" i="1"/>
  <c r="O33" i="1"/>
  <c r="P32" i="1"/>
  <c r="O32" i="1"/>
  <c r="P31" i="1"/>
  <c r="O31" i="1"/>
  <c r="P30" i="1"/>
  <c r="O30" i="1"/>
  <c r="P29" i="1"/>
  <c r="O29" i="1"/>
  <c r="P28" i="1"/>
  <c r="O28" i="1"/>
  <c r="P27" i="1"/>
  <c r="O27" i="1"/>
  <c r="P26" i="1"/>
  <c r="O26" i="1"/>
  <c r="P25" i="1"/>
  <c r="O25" i="1"/>
  <c r="P24" i="1"/>
  <c r="O24" i="1"/>
  <c r="P23" i="1"/>
  <c r="O23" i="1"/>
  <c r="P22" i="1"/>
  <c r="O22" i="1"/>
  <c r="P21" i="1"/>
  <c r="O21" i="1"/>
  <c r="P20" i="1"/>
  <c r="O20" i="1"/>
  <c r="P19" i="1"/>
  <c r="O19" i="1"/>
  <c r="P18" i="1"/>
  <c r="O18" i="1"/>
  <c r="P17" i="1"/>
  <c r="O17" i="1"/>
  <c r="P16" i="1"/>
  <c r="O16" i="1"/>
  <c r="P15" i="1"/>
  <c r="O15" i="1"/>
  <c r="P14" i="1"/>
  <c r="O14" i="1"/>
  <c r="P13" i="1"/>
  <c r="O13" i="1"/>
  <c r="P12" i="1"/>
  <c r="O12" i="1"/>
  <c r="P11" i="1"/>
  <c r="O11" i="1"/>
  <c r="P10" i="1"/>
  <c r="O10" i="1"/>
  <c r="P9" i="1"/>
  <c r="O9" i="1"/>
  <c r="P8" i="1"/>
  <c r="O8" i="1"/>
  <c r="P7" i="1"/>
  <c r="O7" i="1"/>
  <c r="P6" i="1"/>
  <c r="O6" i="1"/>
  <c r="P5" i="1"/>
  <c r="O5" i="1"/>
  <c r="P4" i="1"/>
  <c r="O4" i="1"/>
  <c r="P3" i="1"/>
  <c r="O3" i="1"/>
</calcChain>
</file>

<file path=xl/sharedStrings.xml><?xml version="1.0" encoding="utf-8"?>
<sst xmlns="http://schemas.openxmlformats.org/spreadsheetml/2006/main" count="214" uniqueCount="115">
  <si>
    <t>★ 부산시청 축구회 선수단 명단 및 능력치 입력 양식 (포지션: 드롭박스 선택 / I~N열 점수 입력시 O열 총점 및 P열 OVR 자동 계산) ★</t>
  </si>
  <si>
    <t>선수ID</t>
  </si>
  <si>
    <t>등번호</t>
  </si>
  <si>
    <t>이름</t>
  </si>
  <si>
    <t>나이</t>
  </si>
  <si>
    <t>주포지션(1순위)</t>
  </si>
  <si>
    <t>부포지션(2순위)</t>
  </si>
  <si>
    <t>부포지션(3순위)</t>
  </si>
  <si>
    <t>주발</t>
  </si>
  <si>
    <t>PAC(주력)</t>
  </si>
  <si>
    <t>SHO(슈팅)</t>
  </si>
  <si>
    <t>PAS(패스)</t>
  </si>
  <si>
    <t>DRI(드리블)</t>
  </si>
  <si>
    <t>DEF(수비)</t>
  </si>
  <si>
    <t>PHY(피지컬)</t>
  </si>
  <si>
    <t>총점(6개합계)</t>
  </si>
  <si>
    <t>종합평점(OVR)</t>
  </si>
  <si>
    <t>선수특징/메모</t>
  </si>
  <si>
    <t>p1</t>
  </si>
  <si>
    <t>김용걸</t>
  </si>
  <si>
    <t>CAM</t>
  </si>
  <si>
    <t>CM</t>
  </si>
  <si>
    <t>ST</t>
  </si>
  <si>
    <t>오른발</t>
  </si>
  <si>
    <t>축구회 주장 및 중원 플레이메이커. 경기 조율 및 날카로운 킬패스 탁월</t>
  </si>
  <si>
    <t>p2</t>
  </si>
  <si>
    <t>RW</t>
  </si>
  <si>
    <t>양발</t>
  </si>
  <si>
    <t>p3</t>
  </si>
  <si>
    <t>LW</t>
  </si>
  <si>
    <t>폭발적인 주력을 가진 윙어. 측면 돌파 및 컷인 슈팅 주특기</t>
  </si>
  <si>
    <t>p4</t>
  </si>
  <si>
    <t>RM</t>
  </si>
  <si>
    <t>왼발</t>
  </si>
  <si>
    <t>정교한 왼발 크로스를 구사하는 테크니션 윙어</t>
  </si>
  <si>
    <t>p5</t>
  </si>
  <si>
    <t>CDM</t>
  </si>
  <si>
    <t>왕성한 활동량의 박스 투 박스 미드필더. 공수 연결고리 역할</t>
  </si>
  <si>
    <t>p6</t>
  </si>
  <si>
    <t>CB</t>
  </si>
  <si>
    <t>피지컬을 앞세운 볼 탈환 전문가. 상대 공격 차단 및 후방 커버</t>
  </si>
  <si>
    <t>p7</t>
  </si>
  <si>
    <t>LB</t>
  </si>
  <si>
    <t>LWB</t>
  </si>
  <si>
    <t>공수 밸런스가 좋은 레프트백. 적극적인 오버래핑</t>
  </si>
  <si>
    <t>p8</t>
  </si>
  <si>
    <t>RB</t>
  </si>
  <si>
    <t>수비라인의 통곡의 벽. 제공권 장악 및 강력한 대인방어</t>
  </si>
  <si>
    <t>p9</t>
  </si>
  <si>
    <t>냉철한 판단력과 뛰어난 인터셉트 능력의 지능형 센터백</t>
  </si>
  <si>
    <t>p10</t>
  </si>
  <si>
    <t>RWB</t>
  </si>
  <si>
    <t>빠른 기동력과 지치지 않는 스태미너의 라이트백</t>
  </si>
  <si>
    <t>p11</t>
  </si>
  <si>
    <t>GK</t>
  </si>
  <si>
    <t>부산시청 넘버원 수문장. 안정적인 공중볼 처리와 동물적 반사신경</t>
  </si>
  <si>
    <t>p12</t>
  </si>
  <si>
    <t>CF</t>
  </si>
  <si>
    <t>타깃형 공격수. 헤더와 등지는 플레이로 2선 침투 기회 창출</t>
  </si>
  <si>
    <t>p13</t>
  </si>
  <si>
    <t>LM</t>
  </si>
  <si>
    <t>젊은 피의 패기. 빠른 템포와 탈압박이 장점인 미드필더</t>
  </si>
  <si>
    <t>p14</t>
  </si>
  <si>
    <t>거친 몸싸움과 끈질긴 압박으로 상대 에이스 무력화</t>
  </si>
  <si>
    <t>p15</t>
  </si>
  <si>
    <t>수비 전 지역 소화 가능한 유틸리티 수비수</t>
  </si>
  <si>
    <t>p16</t>
  </si>
  <si>
    <t>측면 스피드스터. 후반 조커로 투입 시 상대 수비진 교란</t>
  </si>
  <si>
    <t>p17</t>
  </si>
  <si>
    <t>안정적인 수비와 지능적인 패스워크를 겸비한 풀백</t>
  </si>
  <si>
    <t>p18</t>
  </si>
  <si>
    <t>뛰어난 순발력의 서브 골키퍼. 승부차기 페널티킥 선방 능력 우수</t>
  </si>
  <si>
    <t>p_new_1</t>
  </si>
  <si>
    <t>p_new_2</t>
  </si>
  <si>
    <t>p_new_3</t>
  </si>
  <si>
    <t>p_new_4</t>
  </si>
  <si>
    <t>p_new_5</t>
  </si>
  <si>
    <t>p_new_6</t>
  </si>
  <si>
    <t>p_new_7</t>
  </si>
  <si>
    <t>p_new_8</t>
  </si>
  <si>
    <t>p_new_9</t>
  </si>
  <si>
    <t>p_new_10</t>
  </si>
  <si>
    <t>p_new_11</t>
  </si>
  <si>
    <t>p_new_12</t>
  </si>
  <si>
    <t>p_new_13</t>
  </si>
  <si>
    <t>p_new_14</t>
  </si>
  <si>
    <t>p_new_15</t>
  </si>
  <si>
    <t>p_new_16</t>
  </si>
  <si>
    <t>p_new_17</t>
  </si>
  <si>
    <t>p_new_18</t>
  </si>
  <si>
    <t>p_new_19</t>
  </si>
  <si>
    <t>p_new_20</t>
  </si>
  <si>
    <t>p_new_21</t>
  </si>
  <si>
    <t>p_new_22</t>
  </si>
  <si>
    <t>p_new_23</t>
  </si>
  <si>
    <t>p_new_24</t>
  </si>
  <si>
    <t>p_new_25</t>
  </si>
  <si>
    <t>강경현</t>
    <phoneticPr fontId="5" type="noConversion"/>
  </si>
  <si>
    <t>박동현</t>
    <phoneticPr fontId="5" type="noConversion"/>
  </si>
  <si>
    <t>장성유</t>
    <phoneticPr fontId="5" type="noConversion"/>
  </si>
  <si>
    <t>박종민</t>
    <phoneticPr fontId="5" type="noConversion"/>
  </si>
  <si>
    <t>박재형</t>
    <phoneticPr fontId="5" type="noConversion"/>
  </si>
  <si>
    <t>이영범</t>
    <phoneticPr fontId="5" type="noConversion"/>
  </si>
  <si>
    <t>강동화</t>
    <phoneticPr fontId="5" type="noConversion"/>
  </si>
  <si>
    <t>김계용</t>
    <phoneticPr fontId="5" type="noConversion"/>
  </si>
  <si>
    <t>서승환</t>
    <phoneticPr fontId="5" type="noConversion"/>
  </si>
  <si>
    <t>신현태</t>
    <phoneticPr fontId="5" type="noConversion"/>
  </si>
  <si>
    <t>엄태현</t>
    <phoneticPr fontId="5" type="noConversion"/>
  </si>
  <si>
    <t>김우건</t>
    <phoneticPr fontId="5" type="noConversion"/>
  </si>
  <si>
    <t>마준호</t>
    <phoneticPr fontId="5" type="noConversion"/>
  </si>
  <si>
    <t>박신철</t>
    <phoneticPr fontId="5" type="noConversion"/>
  </si>
  <si>
    <t>최재문</t>
    <phoneticPr fontId="5" type="noConversion"/>
  </si>
  <si>
    <t>소현우</t>
    <phoneticPr fontId="5" type="noConversion"/>
  </si>
  <si>
    <t>정의헌</t>
    <phoneticPr fontId="5" type="noConversion"/>
  </si>
  <si>
    <t>멀티 플레이어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</si>
</sst>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scheme val="minor"/>
    </font>
    <font>
      <b/>
      <sz val="11"/>
      <color rgb="FFFFFFFF"/>
      <name val="맑은 고딕"/>
      <family val="3"/>
      <charset val="129"/>
    </font>
    <font>
      <b/>
      <sz val="10"/>
      <color rgb="FFFFFFFF"/>
      <name val="맑은 고딕"/>
      <family val="3"/>
      <charset val="129"/>
    </font>
    <font>
      <sz val="10"/>
      <name val="맑은 고딕"/>
      <family val="3"/>
      <charset val="129"/>
    </font>
    <font>
      <b/>
      <sz val="10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C2D48"/>
        <bgColor rgb="FF0C2D48"/>
      </patternFill>
    </fill>
    <fill>
      <patternFill patternType="solid">
        <fgColor rgb="FF1F4E79"/>
        <bgColor rgb="FF1F4E79"/>
      </patternFill>
    </fill>
    <fill>
      <patternFill patternType="solid">
        <fgColor rgb="FFC65911"/>
        <bgColor rgb="FFC65911"/>
      </patternFill>
    </fill>
    <fill>
      <patternFill patternType="solid">
        <fgColor rgb="FFFFF2CC"/>
        <bgColor rgb="FFFFF2CC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3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4" fillId="5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5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5"/>
  <sheetViews>
    <sheetView tabSelected="1" workbookViewId="0">
      <selection activeCell="D4" sqref="D4"/>
    </sheetView>
  </sheetViews>
  <sheetFormatPr defaultRowHeight="17.399999999999999" x14ac:dyDescent="0.4"/>
  <cols>
    <col min="1" max="1" width="10" customWidth="1"/>
    <col min="2" max="2" width="8" customWidth="1"/>
    <col min="3" max="3" width="12" customWidth="1"/>
    <col min="4" max="4" width="8" customWidth="1"/>
    <col min="5" max="7" width="15" customWidth="1"/>
    <col min="8" max="8" width="10" customWidth="1"/>
    <col min="9" max="14" width="12" customWidth="1"/>
    <col min="15" max="15" width="15" customWidth="1"/>
    <col min="16" max="16" width="14" customWidth="1"/>
    <col min="17" max="17" width="35" customWidth="1"/>
  </cols>
  <sheetData>
    <row r="1" spans="1:17" ht="28.05" customHeight="1" x14ac:dyDescent="0.4">
      <c r="A1" s="9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</row>
    <row r="2" spans="1:17" ht="24" customHeight="1" x14ac:dyDescent="0.4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2" t="s">
        <v>15</v>
      </c>
      <c r="P2" s="2" t="s">
        <v>16</v>
      </c>
      <c r="Q2" s="1" t="s">
        <v>17</v>
      </c>
    </row>
    <row r="3" spans="1:17" ht="19.95" customHeight="1" x14ac:dyDescent="0.4">
      <c r="A3" s="3" t="s">
        <v>18</v>
      </c>
      <c r="B3" s="4">
        <v>10</v>
      </c>
      <c r="C3" s="5" t="s">
        <v>19</v>
      </c>
      <c r="D3" s="3">
        <v>41</v>
      </c>
      <c r="E3" s="3" t="s">
        <v>46</v>
      </c>
      <c r="F3" s="3" t="s">
        <v>26</v>
      </c>
      <c r="G3" s="3" t="s">
        <v>36</v>
      </c>
      <c r="H3" s="3" t="s">
        <v>23</v>
      </c>
      <c r="I3" s="3">
        <v>88</v>
      </c>
      <c r="J3" s="3">
        <v>88</v>
      </c>
      <c r="K3" s="3">
        <v>93</v>
      </c>
      <c r="L3" s="3">
        <v>87</v>
      </c>
      <c r="M3" s="3">
        <v>93</v>
      </c>
      <c r="N3" s="3">
        <v>86</v>
      </c>
      <c r="O3" s="6">
        <f t="shared" ref="O3:O20" si="0">SUM(I3:N3)</f>
        <v>535</v>
      </c>
      <c r="P3" s="6">
        <f t="shared" ref="P3:P20" si="1">ROUND(AVERAGE(I3:N3), 0)</f>
        <v>89</v>
      </c>
      <c r="Q3" s="7" t="s">
        <v>114</v>
      </c>
    </row>
    <row r="4" spans="1:17" ht="19.95" customHeight="1" x14ac:dyDescent="0.4">
      <c r="A4" s="3" t="s">
        <v>25</v>
      </c>
      <c r="B4" s="4">
        <v>9</v>
      </c>
      <c r="C4" s="5" t="s">
        <v>97</v>
      </c>
      <c r="D4" s="3">
        <v>42</v>
      </c>
      <c r="E4" s="3" t="s">
        <v>36</v>
      </c>
      <c r="F4" s="3" t="s">
        <v>39</v>
      </c>
      <c r="G4" s="3"/>
      <c r="H4" s="3" t="s">
        <v>23</v>
      </c>
      <c r="I4" s="3">
        <v>90</v>
      </c>
      <c r="J4" s="3">
        <v>98</v>
      </c>
      <c r="K4" s="3">
        <v>95</v>
      </c>
      <c r="L4" s="3">
        <v>90</v>
      </c>
      <c r="M4" s="3">
        <v>95</v>
      </c>
      <c r="N4" s="3">
        <v>90</v>
      </c>
      <c r="O4" s="6">
        <f t="shared" si="0"/>
        <v>558</v>
      </c>
      <c r="P4" s="6">
        <f t="shared" si="1"/>
        <v>93</v>
      </c>
      <c r="Q4" s="7" t="s">
        <v>24</v>
      </c>
    </row>
    <row r="5" spans="1:17" ht="19.95" customHeight="1" x14ac:dyDescent="0.4">
      <c r="A5" s="3" t="s">
        <v>28</v>
      </c>
      <c r="B5" s="4">
        <v>7</v>
      </c>
      <c r="C5" s="5" t="s">
        <v>98</v>
      </c>
      <c r="D5" s="3"/>
      <c r="E5" s="3" t="s">
        <v>29</v>
      </c>
      <c r="F5" s="3" t="s">
        <v>26</v>
      </c>
      <c r="G5" s="3" t="s">
        <v>22</v>
      </c>
      <c r="H5" s="3" t="s">
        <v>23</v>
      </c>
      <c r="I5" s="3">
        <v>91</v>
      </c>
      <c r="J5" s="3">
        <v>81</v>
      </c>
      <c r="K5" s="3">
        <v>78</v>
      </c>
      <c r="L5" s="3">
        <v>86</v>
      </c>
      <c r="M5" s="3">
        <v>52</v>
      </c>
      <c r="N5" s="3">
        <v>75</v>
      </c>
      <c r="O5" s="6">
        <f t="shared" si="0"/>
        <v>463</v>
      </c>
      <c r="P5" s="6">
        <f t="shared" si="1"/>
        <v>77</v>
      </c>
      <c r="Q5" s="7" t="s">
        <v>30</v>
      </c>
    </row>
    <row r="6" spans="1:17" ht="19.95" customHeight="1" x14ac:dyDescent="0.4">
      <c r="A6" s="3" t="s">
        <v>31</v>
      </c>
      <c r="B6" s="4">
        <v>11</v>
      </c>
      <c r="C6" s="5" t="s">
        <v>99</v>
      </c>
      <c r="D6" s="3"/>
      <c r="E6" s="3" t="s">
        <v>26</v>
      </c>
      <c r="F6" s="3" t="s">
        <v>29</v>
      </c>
      <c r="G6" s="3" t="s">
        <v>32</v>
      </c>
      <c r="H6" s="3" t="s">
        <v>33</v>
      </c>
      <c r="I6" s="3">
        <v>89</v>
      </c>
      <c r="J6" s="3">
        <v>79</v>
      </c>
      <c r="K6" s="3">
        <v>82</v>
      </c>
      <c r="L6" s="3">
        <v>85</v>
      </c>
      <c r="M6" s="3">
        <v>54</v>
      </c>
      <c r="N6" s="3">
        <v>74</v>
      </c>
      <c r="O6" s="6">
        <f t="shared" si="0"/>
        <v>463</v>
      </c>
      <c r="P6" s="6">
        <f t="shared" si="1"/>
        <v>77</v>
      </c>
      <c r="Q6" s="7" t="s">
        <v>34</v>
      </c>
    </row>
    <row r="7" spans="1:17" ht="19.95" customHeight="1" x14ac:dyDescent="0.4">
      <c r="A7" s="3" t="s">
        <v>35</v>
      </c>
      <c r="B7" s="4">
        <v>8</v>
      </c>
      <c r="C7" s="5" t="s">
        <v>100</v>
      </c>
      <c r="D7" s="3"/>
      <c r="E7" s="3" t="s">
        <v>21</v>
      </c>
      <c r="F7" s="3" t="s">
        <v>20</v>
      </c>
      <c r="G7" s="3" t="s">
        <v>36</v>
      </c>
      <c r="H7" s="3" t="s">
        <v>23</v>
      </c>
      <c r="I7" s="3">
        <v>77</v>
      </c>
      <c r="J7" s="3">
        <v>78</v>
      </c>
      <c r="K7" s="3">
        <v>85</v>
      </c>
      <c r="L7" s="3">
        <v>80</v>
      </c>
      <c r="M7" s="3">
        <v>74</v>
      </c>
      <c r="N7" s="3">
        <v>83</v>
      </c>
      <c r="O7" s="6">
        <f t="shared" si="0"/>
        <v>477</v>
      </c>
      <c r="P7" s="6">
        <f t="shared" si="1"/>
        <v>80</v>
      </c>
      <c r="Q7" s="7" t="s">
        <v>37</v>
      </c>
    </row>
    <row r="8" spans="1:17" ht="19.95" customHeight="1" x14ac:dyDescent="0.4">
      <c r="A8" s="3" t="s">
        <v>38</v>
      </c>
      <c r="B8" s="4">
        <v>6</v>
      </c>
      <c r="C8" s="5" t="s">
        <v>101</v>
      </c>
      <c r="D8" s="3"/>
      <c r="E8" s="3" t="s">
        <v>36</v>
      </c>
      <c r="F8" s="3" t="s">
        <v>39</v>
      </c>
      <c r="G8" s="3" t="s">
        <v>21</v>
      </c>
      <c r="H8" s="3" t="s">
        <v>23</v>
      </c>
      <c r="I8" s="3">
        <v>73</v>
      </c>
      <c r="J8" s="3">
        <v>65</v>
      </c>
      <c r="K8" s="3">
        <v>80</v>
      </c>
      <c r="L8" s="3">
        <v>76</v>
      </c>
      <c r="M8" s="3">
        <v>86</v>
      </c>
      <c r="N8" s="3">
        <v>88</v>
      </c>
      <c r="O8" s="6">
        <f t="shared" si="0"/>
        <v>468</v>
      </c>
      <c r="P8" s="6">
        <f t="shared" si="1"/>
        <v>78</v>
      </c>
      <c r="Q8" s="7" t="s">
        <v>40</v>
      </c>
    </row>
    <row r="9" spans="1:17" ht="19.95" customHeight="1" x14ac:dyDescent="0.4">
      <c r="A9" s="3" t="s">
        <v>41</v>
      </c>
      <c r="B9" s="4">
        <v>3</v>
      </c>
      <c r="C9" s="5" t="s">
        <v>102</v>
      </c>
      <c r="D9" s="3"/>
      <c r="E9" s="3" t="s">
        <v>42</v>
      </c>
      <c r="F9" s="3" t="s">
        <v>43</v>
      </c>
      <c r="G9" s="3" t="s">
        <v>39</v>
      </c>
      <c r="H9" s="3" t="s">
        <v>33</v>
      </c>
      <c r="I9" s="3">
        <v>85</v>
      </c>
      <c r="J9" s="3">
        <v>64</v>
      </c>
      <c r="K9" s="3">
        <v>78</v>
      </c>
      <c r="L9" s="3">
        <v>77</v>
      </c>
      <c r="M9" s="3">
        <v>81</v>
      </c>
      <c r="N9" s="3">
        <v>79</v>
      </c>
      <c r="O9" s="6">
        <f t="shared" si="0"/>
        <v>464</v>
      </c>
      <c r="P9" s="6">
        <f t="shared" si="1"/>
        <v>77</v>
      </c>
      <c r="Q9" s="7" t="s">
        <v>44</v>
      </c>
    </row>
    <row r="10" spans="1:17" ht="19.95" customHeight="1" x14ac:dyDescent="0.4">
      <c r="A10" s="3" t="s">
        <v>45</v>
      </c>
      <c r="B10" s="4">
        <v>4</v>
      </c>
      <c r="C10" s="5" t="s">
        <v>103</v>
      </c>
      <c r="D10" s="3"/>
      <c r="E10" s="3" t="s">
        <v>39</v>
      </c>
      <c r="F10" s="3" t="s">
        <v>36</v>
      </c>
      <c r="G10" s="3" t="s">
        <v>46</v>
      </c>
      <c r="H10" s="3" t="s">
        <v>23</v>
      </c>
      <c r="I10" s="3">
        <v>72</v>
      </c>
      <c r="J10" s="3">
        <v>55</v>
      </c>
      <c r="K10" s="3">
        <v>74</v>
      </c>
      <c r="L10" s="3">
        <v>70</v>
      </c>
      <c r="M10" s="3">
        <v>88</v>
      </c>
      <c r="N10" s="3">
        <v>90</v>
      </c>
      <c r="O10" s="6">
        <f t="shared" si="0"/>
        <v>449</v>
      </c>
      <c r="P10" s="6">
        <f t="shared" si="1"/>
        <v>75</v>
      </c>
      <c r="Q10" s="7" t="s">
        <v>47</v>
      </c>
    </row>
    <row r="11" spans="1:17" ht="19.95" customHeight="1" x14ac:dyDescent="0.4">
      <c r="A11" s="3" t="s">
        <v>48</v>
      </c>
      <c r="B11" s="4">
        <v>5</v>
      </c>
      <c r="C11" s="5" t="s">
        <v>104</v>
      </c>
      <c r="D11" s="3"/>
      <c r="E11" s="3" t="s">
        <v>39</v>
      </c>
      <c r="F11" s="3" t="s">
        <v>46</v>
      </c>
      <c r="G11" s="3" t="s">
        <v>36</v>
      </c>
      <c r="H11" s="3" t="s">
        <v>23</v>
      </c>
      <c r="I11" s="3">
        <v>76</v>
      </c>
      <c r="J11" s="3">
        <v>52</v>
      </c>
      <c r="K11" s="3">
        <v>76</v>
      </c>
      <c r="L11" s="3">
        <v>72</v>
      </c>
      <c r="M11" s="3">
        <v>86</v>
      </c>
      <c r="N11" s="3">
        <v>85</v>
      </c>
      <c r="O11" s="6">
        <f t="shared" si="0"/>
        <v>447</v>
      </c>
      <c r="P11" s="6">
        <f t="shared" si="1"/>
        <v>75</v>
      </c>
      <c r="Q11" s="7" t="s">
        <v>49</v>
      </c>
    </row>
    <row r="12" spans="1:17" ht="19.95" customHeight="1" x14ac:dyDescent="0.4">
      <c r="A12" s="3" t="s">
        <v>50</v>
      </c>
      <c r="B12" s="4">
        <v>2</v>
      </c>
      <c r="C12" s="5" t="s">
        <v>105</v>
      </c>
      <c r="D12" s="3"/>
      <c r="E12" s="3" t="s">
        <v>46</v>
      </c>
      <c r="F12" s="3" t="s">
        <v>51</v>
      </c>
      <c r="G12" s="3" t="s">
        <v>32</v>
      </c>
      <c r="H12" s="3" t="s">
        <v>23</v>
      </c>
      <c r="I12" s="3">
        <v>87</v>
      </c>
      <c r="J12" s="3">
        <v>68</v>
      </c>
      <c r="K12" s="3">
        <v>79</v>
      </c>
      <c r="L12" s="3">
        <v>80</v>
      </c>
      <c r="M12" s="3">
        <v>80</v>
      </c>
      <c r="N12" s="3">
        <v>78</v>
      </c>
      <c r="O12" s="6">
        <f t="shared" si="0"/>
        <v>472</v>
      </c>
      <c r="P12" s="6">
        <f t="shared" si="1"/>
        <v>79</v>
      </c>
      <c r="Q12" s="7" t="s">
        <v>52</v>
      </c>
    </row>
    <row r="13" spans="1:17" ht="19.95" customHeight="1" x14ac:dyDescent="0.4">
      <c r="A13" s="3" t="s">
        <v>53</v>
      </c>
      <c r="B13" s="4">
        <v>1</v>
      </c>
      <c r="C13" s="5" t="s">
        <v>106</v>
      </c>
      <c r="D13" s="3"/>
      <c r="E13" s="3" t="s">
        <v>54</v>
      </c>
      <c r="F13" s="3"/>
      <c r="G13" s="3"/>
      <c r="H13" s="3" t="s">
        <v>23</v>
      </c>
      <c r="I13" s="3">
        <v>68</v>
      </c>
      <c r="J13" s="3">
        <v>50</v>
      </c>
      <c r="K13" s="3">
        <v>75</v>
      </c>
      <c r="L13" s="3">
        <v>66</v>
      </c>
      <c r="M13" s="3">
        <v>88</v>
      </c>
      <c r="N13" s="3">
        <v>87</v>
      </c>
      <c r="O13" s="6">
        <f t="shared" si="0"/>
        <v>434</v>
      </c>
      <c r="P13" s="6">
        <f t="shared" si="1"/>
        <v>72</v>
      </c>
      <c r="Q13" s="7" t="s">
        <v>55</v>
      </c>
    </row>
    <row r="14" spans="1:17" ht="19.95" customHeight="1" x14ac:dyDescent="0.4">
      <c r="A14" s="3" t="s">
        <v>56</v>
      </c>
      <c r="B14" s="4">
        <v>18</v>
      </c>
      <c r="C14" s="5" t="s">
        <v>107</v>
      </c>
      <c r="D14" s="3"/>
      <c r="E14" s="3" t="s">
        <v>22</v>
      </c>
      <c r="F14" s="3" t="s">
        <v>20</v>
      </c>
      <c r="G14" s="3" t="s">
        <v>57</v>
      </c>
      <c r="H14" s="3" t="s">
        <v>23</v>
      </c>
      <c r="I14" s="3">
        <v>81</v>
      </c>
      <c r="J14" s="3">
        <v>83</v>
      </c>
      <c r="K14" s="3">
        <v>72</v>
      </c>
      <c r="L14" s="3">
        <v>77</v>
      </c>
      <c r="M14" s="3">
        <v>48</v>
      </c>
      <c r="N14" s="3">
        <v>85</v>
      </c>
      <c r="O14" s="6">
        <f t="shared" si="0"/>
        <v>446</v>
      </c>
      <c r="P14" s="6">
        <f t="shared" si="1"/>
        <v>74</v>
      </c>
      <c r="Q14" s="7" t="s">
        <v>58</v>
      </c>
    </row>
    <row r="15" spans="1:17" ht="19.95" customHeight="1" x14ac:dyDescent="0.4">
      <c r="A15" s="3" t="s">
        <v>59</v>
      </c>
      <c r="B15" s="4">
        <v>14</v>
      </c>
      <c r="C15" s="5" t="s">
        <v>108</v>
      </c>
      <c r="D15" s="3"/>
      <c r="E15" s="3" t="s">
        <v>21</v>
      </c>
      <c r="F15" s="3" t="s">
        <v>60</v>
      </c>
      <c r="G15" s="3" t="s">
        <v>32</v>
      </c>
      <c r="H15" s="3" t="s">
        <v>27</v>
      </c>
      <c r="I15" s="3">
        <v>82</v>
      </c>
      <c r="J15" s="3">
        <v>74</v>
      </c>
      <c r="K15" s="3">
        <v>81</v>
      </c>
      <c r="L15" s="3">
        <v>82</v>
      </c>
      <c r="M15" s="3">
        <v>68</v>
      </c>
      <c r="N15" s="3">
        <v>76</v>
      </c>
      <c r="O15" s="6">
        <f t="shared" si="0"/>
        <v>463</v>
      </c>
      <c r="P15" s="6">
        <f t="shared" si="1"/>
        <v>77</v>
      </c>
      <c r="Q15" s="7" t="s">
        <v>61</v>
      </c>
    </row>
    <row r="16" spans="1:17" ht="19.95" customHeight="1" x14ac:dyDescent="0.4">
      <c r="A16" s="3" t="s">
        <v>62</v>
      </c>
      <c r="B16" s="4">
        <v>16</v>
      </c>
      <c r="C16" s="5" t="s">
        <v>109</v>
      </c>
      <c r="D16" s="3"/>
      <c r="E16" s="3" t="s">
        <v>36</v>
      </c>
      <c r="F16" s="3" t="s">
        <v>39</v>
      </c>
      <c r="G16" s="3" t="s">
        <v>21</v>
      </c>
      <c r="H16" s="3" t="s">
        <v>23</v>
      </c>
      <c r="I16" s="3">
        <v>71</v>
      </c>
      <c r="J16" s="3">
        <v>60</v>
      </c>
      <c r="K16" s="3">
        <v>75</v>
      </c>
      <c r="L16" s="3">
        <v>71</v>
      </c>
      <c r="M16" s="3">
        <v>82</v>
      </c>
      <c r="N16" s="3">
        <v>86</v>
      </c>
      <c r="O16" s="6">
        <f t="shared" si="0"/>
        <v>445</v>
      </c>
      <c r="P16" s="6">
        <f t="shared" si="1"/>
        <v>74</v>
      </c>
      <c r="Q16" s="7" t="s">
        <v>63</v>
      </c>
    </row>
    <row r="17" spans="1:17" ht="19.95" customHeight="1" x14ac:dyDescent="0.4">
      <c r="A17" s="3" t="s">
        <v>64</v>
      </c>
      <c r="B17" s="4">
        <v>20</v>
      </c>
      <c r="C17" s="5" t="s">
        <v>110</v>
      </c>
      <c r="D17" s="3"/>
      <c r="E17" s="3" t="s">
        <v>39</v>
      </c>
      <c r="F17" s="3" t="s">
        <v>42</v>
      </c>
      <c r="G17" s="3" t="s">
        <v>46</v>
      </c>
      <c r="H17" s="3" t="s">
        <v>23</v>
      </c>
      <c r="I17" s="3">
        <v>78</v>
      </c>
      <c r="J17" s="3">
        <v>54</v>
      </c>
      <c r="K17" s="3">
        <v>72</v>
      </c>
      <c r="L17" s="3">
        <v>73</v>
      </c>
      <c r="M17" s="3">
        <v>82</v>
      </c>
      <c r="N17" s="3">
        <v>81</v>
      </c>
      <c r="O17" s="6">
        <f t="shared" si="0"/>
        <v>440</v>
      </c>
      <c r="P17" s="6">
        <f t="shared" si="1"/>
        <v>73</v>
      </c>
      <c r="Q17" s="7" t="s">
        <v>65</v>
      </c>
    </row>
    <row r="18" spans="1:17" ht="19.95" customHeight="1" x14ac:dyDescent="0.4">
      <c r="A18" s="3" t="s">
        <v>66</v>
      </c>
      <c r="B18" s="4">
        <v>17</v>
      </c>
      <c r="C18" s="5" t="s">
        <v>111</v>
      </c>
      <c r="D18" s="3"/>
      <c r="E18" s="3" t="s">
        <v>29</v>
      </c>
      <c r="F18" s="3" t="s">
        <v>42</v>
      </c>
      <c r="G18" s="3" t="s">
        <v>60</v>
      </c>
      <c r="H18" s="3" t="s">
        <v>33</v>
      </c>
      <c r="I18" s="3">
        <v>86</v>
      </c>
      <c r="J18" s="3">
        <v>73</v>
      </c>
      <c r="K18" s="3">
        <v>76</v>
      </c>
      <c r="L18" s="3">
        <v>81</v>
      </c>
      <c r="M18" s="3">
        <v>60</v>
      </c>
      <c r="N18" s="3">
        <v>73</v>
      </c>
      <c r="O18" s="6">
        <f t="shared" si="0"/>
        <v>449</v>
      </c>
      <c r="P18" s="6">
        <f t="shared" si="1"/>
        <v>75</v>
      </c>
      <c r="Q18" s="7" t="s">
        <v>67</v>
      </c>
    </row>
    <row r="19" spans="1:17" ht="19.95" customHeight="1" x14ac:dyDescent="0.4">
      <c r="A19" s="3" t="s">
        <v>68</v>
      </c>
      <c r="B19" s="4">
        <v>19</v>
      </c>
      <c r="C19" s="5" t="s">
        <v>112</v>
      </c>
      <c r="D19" s="3"/>
      <c r="E19" s="3" t="s">
        <v>46</v>
      </c>
      <c r="F19" s="3" t="s">
        <v>51</v>
      </c>
      <c r="G19" s="3" t="s">
        <v>39</v>
      </c>
      <c r="H19" s="3" t="s">
        <v>23</v>
      </c>
      <c r="I19" s="3">
        <v>83</v>
      </c>
      <c r="J19" s="3">
        <v>62</v>
      </c>
      <c r="K19" s="3">
        <v>75</v>
      </c>
      <c r="L19" s="3">
        <v>76</v>
      </c>
      <c r="M19" s="3">
        <v>77</v>
      </c>
      <c r="N19" s="3">
        <v>78</v>
      </c>
      <c r="O19" s="6">
        <f t="shared" si="0"/>
        <v>451</v>
      </c>
      <c r="P19" s="6">
        <f t="shared" si="1"/>
        <v>75</v>
      </c>
      <c r="Q19" s="7" t="s">
        <v>69</v>
      </c>
    </row>
    <row r="20" spans="1:17" ht="19.95" customHeight="1" x14ac:dyDescent="0.4">
      <c r="A20" s="3" t="s">
        <v>70</v>
      </c>
      <c r="B20" s="4">
        <v>21</v>
      </c>
      <c r="C20" s="5" t="s">
        <v>113</v>
      </c>
      <c r="D20" s="3"/>
      <c r="E20" s="3" t="s">
        <v>54</v>
      </c>
      <c r="F20" s="3"/>
      <c r="G20" s="3"/>
      <c r="H20" s="3" t="s">
        <v>23</v>
      </c>
      <c r="I20" s="3">
        <v>65</v>
      </c>
      <c r="J20" s="3">
        <v>48</v>
      </c>
      <c r="K20" s="3">
        <v>72</v>
      </c>
      <c r="L20" s="3">
        <v>64</v>
      </c>
      <c r="M20" s="3">
        <v>82</v>
      </c>
      <c r="N20" s="3">
        <v>81</v>
      </c>
      <c r="O20" s="6">
        <f t="shared" si="0"/>
        <v>412</v>
      </c>
      <c r="P20" s="6">
        <f t="shared" si="1"/>
        <v>69</v>
      </c>
      <c r="Q20" s="7" t="s">
        <v>71</v>
      </c>
    </row>
    <row r="21" spans="1:17" ht="19.95" customHeight="1" x14ac:dyDescent="0.4">
      <c r="A21" s="3" t="s">
        <v>72</v>
      </c>
      <c r="B21" s="3"/>
      <c r="C21" s="7"/>
      <c r="D21" s="3"/>
      <c r="E21" s="3" t="s">
        <v>21</v>
      </c>
      <c r="F21" s="3"/>
      <c r="G21" s="3"/>
      <c r="H21" s="3" t="s">
        <v>23</v>
      </c>
      <c r="I21" s="3"/>
      <c r="J21" s="3"/>
      <c r="K21" s="3"/>
      <c r="L21" s="3"/>
      <c r="M21" s="3"/>
      <c r="N21" s="3"/>
      <c r="O21" s="8" t="str">
        <f t="shared" ref="O21:O45" si="2">IF(COUNT(I21:N21)&gt;0, SUM(I21:N21), "")</f>
        <v/>
      </c>
      <c r="P21" s="8" t="str">
        <f t="shared" ref="P21:P45" si="3">IF(COUNT(I21:N21)&gt;0, ROUND(AVERAGE(I21:N21), 0), "")</f>
        <v/>
      </c>
      <c r="Q21" s="7"/>
    </row>
    <row r="22" spans="1:17" ht="19.95" customHeight="1" x14ac:dyDescent="0.4">
      <c r="A22" s="3" t="s">
        <v>73</v>
      </c>
      <c r="B22" s="3"/>
      <c r="C22" s="7"/>
      <c r="D22" s="3"/>
      <c r="E22" s="3" t="s">
        <v>21</v>
      </c>
      <c r="F22" s="3"/>
      <c r="G22" s="3"/>
      <c r="H22" s="3" t="s">
        <v>23</v>
      </c>
      <c r="I22" s="3"/>
      <c r="J22" s="3"/>
      <c r="K22" s="3"/>
      <c r="L22" s="3"/>
      <c r="M22" s="3"/>
      <c r="N22" s="3"/>
      <c r="O22" s="8" t="str">
        <f t="shared" si="2"/>
        <v/>
      </c>
      <c r="P22" s="8" t="str">
        <f t="shared" si="3"/>
        <v/>
      </c>
      <c r="Q22" s="7"/>
    </row>
    <row r="23" spans="1:17" ht="19.95" customHeight="1" x14ac:dyDescent="0.4">
      <c r="A23" s="3" t="s">
        <v>74</v>
      </c>
      <c r="B23" s="3"/>
      <c r="C23" s="7"/>
      <c r="D23" s="3"/>
      <c r="E23" s="3" t="s">
        <v>21</v>
      </c>
      <c r="F23" s="3"/>
      <c r="G23" s="3"/>
      <c r="H23" s="3" t="s">
        <v>23</v>
      </c>
      <c r="I23" s="3"/>
      <c r="J23" s="3"/>
      <c r="K23" s="3"/>
      <c r="L23" s="3"/>
      <c r="M23" s="3"/>
      <c r="N23" s="3"/>
      <c r="O23" s="8" t="str">
        <f t="shared" si="2"/>
        <v/>
      </c>
      <c r="P23" s="8" t="str">
        <f t="shared" si="3"/>
        <v/>
      </c>
      <c r="Q23" s="7"/>
    </row>
    <row r="24" spans="1:17" ht="19.95" customHeight="1" x14ac:dyDescent="0.4">
      <c r="A24" s="3" t="s">
        <v>75</v>
      </c>
      <c r="B24" s="3"/>
      <c r="C24" s="7"/>
      <c r="D24" s="3"/>
      <c r="E24" s="3" t="s">
        <v>21</v>
      </c>
      <c r="F24" s="3"/>
      <c r="G24" s="3"/>
      <c r="H24" s="3" t="s">
        <v>23</v>
      </c>
      <c r="I24" s="3"/>
      <c r="J24" s="3"/>
      <c r="K24" s="3"/>
      <c r="L24" s="3"/>
      <c r="M24" s="3"/>
      <c r="N24" s="3"/>
      <c r="O24" s="8" t="str">
        <f t="shared" si="2"/>
        <v/>
      </c>
      <c r="P24" s="8" t="str">
        <f t="shared" si="3"/>
        <v/>
      </c>
      <c r="Q24" s="7"/>
    </row>
    <row r="25" spans="1:17" ht="19.95" customHeight="1" x14ac:dyDescent="0.4">
      <c r="A25" s="3" t="s">
        <v>76</v>
      </c>
      <c r="B25" s="3"/>
      <c r="C25" s="7"/>
      <c r="D25" s="3"/>
      <c r="E25" s="3" t="s">
        <v>21</v>
      </c>
      <c r="F25" s="3"/>
      <c r="G25" s="3"/>
      <c r="H25" s="3" t="s">
        <v>23</v>
      </c>
      <c r="I25" s="3"/>
      <c r="J25" s="3"/>
      <c r="K25" s="3"/>
      <c r="L25" s="3"/>
      <c r="M25" s="3"/>
      <c r="N25" s="3"/>
      <c r="O25" s="8" t="str">
        <f t="shared" si="2"/>
        <v/>
      </c>
      <c r="P25" s="8" t="str">
        <f t="shared" si="3"/>
        <v/>
      </c>
      <c r="Q25" s="7"/>
    </row>
    <row r="26" spans="1:17" ht="19.95" customHeight="1" x14ac:dyDescent="0.4">
      <c r="A26" s="3" t="s">
        <v>77</v>
      </c>
      <c r="B26" s="3"/>
      <c r="C26" s="7"/>
      <c r="D26" s="3"/>
      <c r="E26" s="3" t="s">
        <v>21</v>
      </c>
      <c r="F26" s="3"/>
      <c r="G26" s="3"/>
      <c r="H26" s="3" t="s">
        <v>23</v>
      </c>
      <c r="I26" s="3"/>
      <c r="J26" s="3"/>
      <c r="K26" s="3"/>
      <c r="L26" s="3"/>
      <c r="M26" s="3"/>
      <c r="N26" s="3"/>
      <c r="O26" s="8" t="str">
        <f t="shared" si="2"/>
        <v/>
      </c>
      <c r="P26" s="8" t="str">
        <f t="shared" si="3"/>
        <v/>
      </c>
      <c r="Q26" s="7"/>
    </row>
    <row r="27" spans="1:17" ht="19.95" customHeight="1" x14ac:dyDescent="0.4">
      <c r="A27" s="3" t="s">
        <v>78</v>
      </c>
      <c r="B27" s="3"/>
      <c r="C27" s="7"/>
      <c r="D27" s="3"/>
      <c r="E27" s="3" t="s">
        <v>21</v>
      </c>
      <c r="F27" s="3"/>
      <c r="G27" s="3"/>
      <c r="H27" s="3" t="s">
        <v>23</v>
      </c>
      <c r="I27" s="3"/>
      <c r="J27" s="3"/>
      <c r="K27" s="3"/>
      <c r="L27" s="3"/>
      <c r="M27" s="3"/>
      <c r="N27" s="3"/>
      <c r="O27" s="8" t="str">
        <f t="shared" si="2"/>
        <v/>
      </c>
      <c r="P27" s="8" t="str">
        <f t="shared" si="3"/>
        <v/>
      </c>
      <c r="Q27" s="7"/>
    </row>
    <row r="28" spans="1:17" ht="19.95" customHeight="1" x14ac:dyDescent="0.4">
      <c r="A28" s="3" t="s">
        <v>79</v>
      </c>
      <c r="B28" s="3"/>
      <c r="C28" s="7"/>
      <c r="D28" s="3"/>
      <c r="E28" s="3" t="s">
        <v>21</v>
      </c>
      <c r="F28" s="3"/>
      <c r="G28" s="3"/>
      <c r="H28" s="3" t="s">
        <v>23</v>
      </c>
      <c r="I28" s="3"/>
      <c r="J28" s="3"/>
      <c r="K28" s="3"/>
      <c r="L28" s="3"/>
      <c r="M28" s="3"/>
      <c r="N28" s="3"/>
      <c r="O28" s="8" t="str">
        <f t="shared" si="2"/>
        <v/>
      </c>
      <c r="P28" s="8" t="str">
        <f t="shared" si="3"/>
        <v/>
      </c>
      <c r="Q28" s="7"/>
    </row>
    <row r="29" spans="1:17" ht="19.95" customHeight="1" x14ac:dyDescent="0.4">
      <c r="A29" s="3" t="s">
        <v>80</v>
      </c>
      <c r="B29" s="3"/>
      <c r="C29" s="7"/>
      <c r="D29" s="3"/>
      <c r="E29" s="3" t="s">
        <v>21</v>
      </c>
      <c r="F29" s="3"/>
      <c r="G29" s="3"/>
      <c r="H29" s="3" t="s">
        <v>23</v>
      </c>
      <c r="I29" s="3"/>
      <c r="J29" s="3"/>
      <c r="K29" s="3"/>
      <c r="L29" s="3"/>
      <c r="M29" s="3"/>
      <c r="N29" s="3"/>
      <c r="O29" s="8" t="str">
        <f t="shared" si="2"/>
        <v/>
      </c>
      <c r="P29" s="8" t="str">
        <f t="shared" si="3"/>
        <v/>
      </c>
      <c r="Q29" s="7"/>
    </row>
    <row r="30" spans="1:17" ht="19.95" customHeight="1" x14ac:dyDescent="0.4">
      <c r="A30" s="3" t="s">
        <v>81</v>
      </c>
      <c r="B30" s="3"/>
      <c r="C30" s="7"/>
      <c r="D30" s="3"/>
      <c r="E30" s="3" t="s">
        <v>21</v>
      </c>
      <c r="F30" s="3"/>
      <c r="G30" s="3"/>
      <c r="H30" s="3" t="s">
        <v>23</v>
      </c>
      <c r="I30" s="3"/>
      <c r="J30" s="3"/>
      <c r="K30" s="3"/>
      <c r="L30" s="3"/>
      <c r="M30" s="3"/>
      <c r="N30" s="3"/>
      <c r="O30" s="8" t="str">
        <f t="shared" si="2"/>
        <v/>
      </c>
      <c r="P30" s="8" t="str">
        <f t="shared" si="3"/>
        <v/>
      </c>
      <c r="Q30" s="7"/>
    </row>
    <row r="31" spans="1:17" ht="19.95" customHeight="1" x14ac:dyDescent="0.4">
      <c r="A31" s="3" t="s">
        <v>82</v>
      </c>
      <c r="B31" s="3"/>
      <c r="C31" s="7"/>
      <c r="D31" s="3"/>
      <c r="E31" s="3" t="s">
        <v>21</v>
      </c>
      <c r="F31" s="3"/>
      <c r="G31" s="3"/>
      <c r="H31" s="3" t="s">
        <v>23</v>
      </c>
      <c r="I31" s="3"/>
      <c r="J31" s="3"/>
      <c r="K31" s="3"/>
      <c r="L31" s="3"/>
      <c r="M31" s="3"/>
      <c r="N31" s="3"/>
      <c r="O31" s="8" t="str">
        <f t="shared" si="2"/>
        <v/>
      </c>
      <c r="P31" s="8" t="str">
        <f t="shared" si="3"/>
        <v/>
      </c>
      <c r="Q31" s="7"/>
    </row>
    <row r="32" spans="1:17" ht="19.95" customHeight="1" x14ac:dyDescent="0.4">
      <c r="A32" s="3" t="s">
        <v>83</v>
      </c>
      <c r="B32" s="3"/>
      <c r="C32" s="7"/>
      <c r="D32" s="3"/>
      <c r="E32" s="3" t="s">
        <v>21</v>
      </c>
      <c r="F32" s="3"/>
      <c r="G32" s="3"/>
      <c r="H32" s="3" t="s">
        <v>23</v>
      </c>
      <c r="I32" s="3"/>
      <c r="J32" s="3"/>
      <c r="K32" s="3"/>
      <c r="L32" s="3"/>
      <c r="M32" s="3"/>
      <c r="N32" s="3"/>
      <c r="O32" s="8" t="str">
        <f t="shared" si="2"/>
        <v/>
      </c>
      <c r="P32" s="8" t="str">
        <f t="shared" si="3"/>
        <v/>
      </c>
      <c r="Q32" s="7"/>
    </row>
    <row r="33" spans="1:17" ht="19.95" customHeight="1" x14ac:dyDescent="0.4">
      <c r="A33" s="3" t="s">
        <v>84</v>
      </c>
      <c r="B33" s="3"/>
      <c r="C33" s="7"/>
      <c r="D33" s="3"/>
      <c r="E33" s="3" t="s">
        <v>21</v>
      </c>
      <c r="F33" s="3"/>
      <c r="G33" s="3"/>
      <c r="H33" s="3" t="s">
        <v>23</v>
      </c>
      <c r="I33" s="3"/>
      <c r="J33" s="3"/>
      <c r="K33" s="3"/>
      <c r="L33" s="3"/>
      <c r="M33" s="3"/>
      <c r="N33" s="3"/>
      <c r="O33" s="8" t="str">
        <f t="shared" si="2"/>
        <v/>
      </c>
      <c r="P33" s="8" t="str">
        <f t="shared" si="3"/>
        <v/>
      </c>
      <c r="Q33" s="7"/>
    </row>
    <row r="34" spans="1:17" ht="19.95" customHeight="1" x14ac:dyDescent="0.4">
      <c r="A34" s="3" t="s">
        <v>85</v>
      </c>
      <c r="B34" s="3"/>
      <c r="C34" s="7"/>
      <c r="D34" s="3"/>
      <c r="E34" s="3" t="s">
        <v>21</v>
      </c>
      <c r="F34" s="3"/>
      <c r="G34" s="3"/>
      <c r="H34" s="3" t="s">
        <v>23</v>
      </c>
      <c r="I34" s="3"/>
      <c r="J34" s="3"/>
      <c r="K34" s="3"/>
      <c r="L34" s="3"/>
      <c r="M34" s="3"/>
      <c r="N34" s="3"/>
      <c r="O34" s="8" t="str">
        <f t="shared" si="2"/>
        <v/>
      </c>
      <c r="P34" s="8" t="str">
        <f t="shared" si="3"/>
        <v/>
      </c>
      <c r="Q34" s="7"/>
    </row>
    <row r="35" spans="1:17" ht="19.95" customHeight="1" x14ac:dyDescent="0.4">
      <c r="A35" s="3" t="s">
        <v>86</v>
      </c>
      <c r="B35" s="3"/>
      <c r="C35" s="7"/>
      <c r="D35" s="3"/>
      <c r="E35" s="3" t="s">
        <v>21</v>
      </c>
      <c r="F35" s="3"/>
      <c r="G35" s="3"/>
      <c r="H35" s="3" t="s">
        <v>23</v>
      </c>
      <c r="I35" s="3"/>
      <c r="J35" s="3"/>
      <c r="K35" s="3"/>
      <c r="L35" s="3"/>
      <c r="M35" s="3"/>
      <c r="N35" s="3"/>
      <c r="O35" s="8" t="str">
        <f t="shared" si="2"/>
        <v/>
      </c>
      <c r="P35" s="8" t="str">
        <f t="shared" si="3"/>
        <v/>
      </c>
      <c r="Q35" s="7"/>
    </row>
    <row r="36" spans="1:17" ht="19.95" customHeight="1" x14ac:dyDescent="0.4">
      <c r="A36" s="3" t="s">
        <v>87</v>
      </c>
      <c r="B36" s="3"/>
      <c r="C36" s="7"/>
      <c r="D36" s="3"/>
      <c r="E36" s="3" t="s">
        <v>21</v>
      </c>
      <c r="F36" s="3"/>
      <c r="G36" s="3"/>
      <c r="H36" s="3" t="s">
        <v>23</v>
      </c>
      <c r="I36" s="3"/>
      <c r="J36" s="3"/>
      <c r="K36" s="3"/>
      <c r="L36" s="3"/>
      <c r="M36" s="3"/>
      <c r="N36" s="3"/>
      <c r="O36" s="8" t="str">
        <f t="shared" si="2"/>
        <v/>
      </c>
      <c r="P36" s="8" t="str">
        <f t="shared" si="3"/>
        <v/>
      </c>
      <c r="Q36" s="7"/>
    </row>
    <row r="37" spans="1:17" ht="19.95" customHeight="1" x14ac:dyDescent="0.4">
      <c r="A37" s="3" t="s">
        <v>88</v>
      </c>
      <c r="B37" s="3"/>
      <c r="C37" s="7"/>
      <c r="D37" s="3"/>
      <c r="E37" s="3" t="s">
        <v>21</v>
      </c>
      <c r="F37" s="3"/>
      <c r="G37" s="3"/>
      <c r="H37" s="3" t="s">
        <v>23</v>
      </c>
      <c r="I37" s="3"/>
      <c r="J37" s="3"/>
      <c r="K37" s="3"/>
      <c r="L37" s="3"/>
      <c r="M37" s="3"/>
      <c r="N37" s="3"/>
      <c r="O37" s="8" t="str">
        <f t="shared" si="2"/>
        <v/>
      </c>
      <c r="P37" s="8" t="str">
        <f t="shared" si="3"/>
        <v/>
      </c>
      <c r="Q37" s="7"/>
    </row>
    <row r="38" spans="1:17" ht="19.95" customHeight="1" x14ac:dyDescent="0.4">
      <c r="A38" s="3" t="s">
        <v>89</v>
      </c>
      <c r="B38" s="3"/>
      <c r="C38" s="7"/>
      <c r="D38" s="3"/>
      <c r="E38" s="3" t="s">
        <v>21</v>
      </c>
      <c r="F38" s="3"/>
      <c r="G38" s="3"/>
      <c r="H38" s="3" t="s">
        <v>23</v>
      </c>
      <c r="I38" s="3"/>
      <c r="J38" s="3"/>
      <c r="K38" s="3"/>
      <c r="L38" s="3"/>
      <c r="M38" s="3"/>
      <c r="N38" s="3"/>
      <c r="O38" s="8" t="str">
        <f t="shared" si="2"/>
        <v/>
      </c>
      <c r="P38" s="8" t="str">
        <f t="shared" si="3"/>
        <v/>
      </c>
      <c r="Q38" s="7"/>
    </row>
    <row r="39" spans="1:17" ht="19.95" customHeight="1" x14ac:dyDescent="0.4">
      <c r="A39" s="3" t="s">
        <v>90</v>
      </c>
      <c r="B39" s="3"/>
      <c r="C39" s="7"/>
      <c r="D39" s="3"/>
      <c r="E39" s="3" t="s">
        <v>21</v>
      </c>
      <c r="F39" s="3"/>
      <c r="G39" s="3"/>
      <c r="H39" s="3" t="s">
        <v>23</v>
      </c>
      <c r="I39" s="3"/>
      <c r="J39" s="3"/>
      <c r="K39" s="3"/>
      <c r="L39" s="3"/>
      <c r="M39" s="3"/>
      <c r="N39" s="3"/>
      <c r="O39" s="8" t="str">
        <f t="shared" si="2"/>
        <v/>
      </c>
      <c r="P39" s="8" t="str">
        <f t="shared" si="3"/>
        <v/>
      </c>
      <c r="Q39" s="7"/>
    </row>
    <row r="40" spans="1:17" ht="19.95" customHeight="1" x14ac:dyDescent="0.4">
      <c r="A40" s="3" t="s">
        <v>91</v>
      </c>
      <c r="B40" s="3"/>
      <c r="C40" s="7"/>
      <c r="D40" s="3"/>
      <c r="E40" s="3" t="s">
        <v>21</v>
      </c>
      <c r="F40" s="3"/>
      <c r="G40" s="3"/>
      <c r="H40" s="3" t="s">
        <v>23</v>
      </c>
      <c r="I40" s="3"/>
      <c r="J40" s="3"/>
      <c r="K40" s="3"/>
      <c r="L40" s="3"/>
      <c r="M40" s="3"/>
      <c r="N40" s="3"/>
      <c r="O40" s="8" t="str">
        <f t="shared" si="2"/>
        <v/>
      </c>
      <c r="P40" s="8" t="str">
        <f t="shared" si="3"/>
        <v/>
      </c>
      <c r="Q40" s="7"/>
    </row>
    <row r="41" spans="1:17" ht="19.95" customHeight="1" x14ac:dyDescent="0.4">
      <c r="A41" s="3" t="s">
        <v>92</v>
      </c>
      <c r="B41" s="3"/>
      <c r="C41" s="7"/>
      <c r="D41" s="3"/>
      <c r="E41" s="3" t="s">
        <v>21</v>
      </c>
      <c r="F41" s="3"/>
      <c r="G41" s="3"/>
      <c r="H41" s="3" t="s">
        <v>23</v>
      </c>
      <c r="I41" s="3"/>
      <c r="J41" s="3"/>
      <c r="K41" s="3"/>
      <c r="L41" s="3"/>
      <c r="M41" s="3"/>
      <c r="N41" s="3"/>
      <c r="O41" s="8" t="str">
        <f t="shared" si="2"/>
        <v/>
      </c>
      <c r="P41" s="8" t="str">
        <f t="shared" si="3"/>
        <v/>
      </c>
      <c r="Q41" s="7"/>
    </row>
    <row r="42" spans="1:17" ht="19.95" customHeight="1" x14ac:dyDescent="0.4">
      <c r="A42" s="3" t="s">
        <v>93</v>
      </c>
      <c r="B42" s="3"/>
      <c r="C42" s="7"/>
      <c r="D42" s="3"/>
      <c r="E42" s="3" t="s">
        <v>21</v>
      </c>
      <c r="F42" s="3"/>
      <c r="G42" s="3"/>
      <c r="H42" s="3" t="s">
        <v>23</v>
      </c>
      <c r="I42" s="3"/>
      <c r="J42" s="3"/>
      <c r="K42" s="3"/>
      <c r="L42" s="3"/>
      <c r="M42" s="3"/>
      <c r="N42" s="3"/>
      <c r="O42" s="8" t="str">
        <f t="shared" si="2"/>
        <v/>
      </c>
      <c r="P42" s="8" t="str">
        <f t="shared" si="3"/>
        <v/>
      </c>
      <c r="Q42" s="7"/>
    </row>
    <row r="43" spans="1:17" ht="19.95" customHeight="1" x14ac:dyDescent="0.4">
      <c r="A43" s="3" t="s">
        <v>94</v>
      </c>
      <c r="B43" s="3"/>
      <c r="C43" s="7"/>
      <c r="D43" s="3"/>
      <c r="E43" s="3" t="s">
        <v>21</v>
      </c>
      <c r="F43" s="3"/>
      <c r="G43" s="3"/>
      <c r="H43" s="3" t="s">
        <v>23</v>
      </c>
      <c r="I43" s="3"/>
      <c r="J43" s="3"/>
      <c r="K43" s="3"/>
      <c r="L43" s="3"/>
      <c r="M43" s="3"/>
      <c r="N43" s="3"/>
      <c r="O43" s="8" t="str">
        <f t="shared" si="2"/>
        <v/>
      </c>
      <c r="P43" s="8" t="str">
        <f t="shared" si="3"/>
        <v/>
      </c>
      <c r="Q43" s="7"/>
    </row>
    <row r="44" spans="1:17" ht="19.95" customHeight="1" x14ac:dyDescent="0.4">
      <c r="A44" s="3" t="s">
        <v>95</v>
      </c>
      <c r="B44" s="3"/>
      <c r="C44" s="7"/>
      <c r="D44" s="3"/>
      <c r="E44" s="3" t="s">
        <v>21</v>
      </c>
      <c r="F44" s="3"/>
      <c r="G44" s="3"/>
      <c r="H44" s="3" t="s">
        <v>23</v>
      </c>
      <c r="I44" s="3"/>
      <c r="J44" s="3"/>
      <c r="K44" s="3"/>
      <c r="L44" s="3"/>
      <c r="M44" s="3"/>
      <c r="N44" s="3"/>
      <c r="O44" s="8" t="str">
        <f t="shared" si="2"/>
        <v/>
      </c>
      <c r="P44" s="8" t="str">
        <f t="shared" si="3"/>
        <v/>
      </c>
      <c r="Q44" s="7"/>
    </row>
    <row r="45" spans="1:17" ht="19.95" customHeight="1" x14ac:dyDescent="0.4">
      <c r="A45" s="3" t="s">
        <v>96</v>
      </c>
      <c r="B45" s="3"/>
      <c r="C45" s="7"/>
      <c r="D45" s="3"/>
      <c r="E45" s="3" t="s">
        <v>21</v>
      </c>
      <c r="F45" s="3"/>
      <c r="G45" s="3"/>
      <c r="H45" s="3" t="s">
        <v>23</v>
      </c>
      <c r="I45" s="3"/>
      <c r="J45" s="3"/>
      <c r="K45" s="3"/>
      <c r="L45" s="3"/>
      <c r="M45" s="3"/>
      <c r="N45" s="3"/>
      <c r="O45" s="8" t="str">
        <f t="shared" si="2"/>
        <v/>
      </c>
      <c r="P45" s="8" t="str">
        <f t="shared" si="3"/>
        <v/>
      </c>
      <c r="Q45" s="7"/>
    </row>
  </sheetData>
  <mergeCells count="1">
    <mergeCell ref="A1:Q1"/>
  </mergeCells>
  <phoneticPr fontId="5" type="noConversion"/>
  <dataValidations count="2">
    <dataValidation type="list" allowBlank="1" sqref="E3:G45" xr:uid="{00000000-0002-0000-0000-000000000000}">
      <formula1>"ST,LW,RW,CAM,CM,CDM,LB,CB,RB,GK"</formula1>
    </dataValidation>
    <dataValidation type="list" allowBlank="1" sqref="H3:H45" xr:uid="{00000000-0002-0000-0000-000001000000}">
      <formula1>"오른발,왼발,양발"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선수단_명단_입력양식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2026-09-04T07:11:31Z</dcterms:created>
  <dcterms:modified xsi:type="dcterms:W3CDTF">2026-09-04T07:16:28Z</dcterms:modified>
</cp:coreProperties>
</file>