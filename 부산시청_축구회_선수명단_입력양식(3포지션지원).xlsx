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수단_명단_입력양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C2D48"/>
        <bgColor rgb="000C2D48"/>
      </patternFill>
    </fill>
    <fill>
      <patternFill patternType="solid">
        <fgColor rgb="001F4E79"/>
        <bgColor rgb="001F4E79"/>
      </patternFill>
    </fill>
    <fill>
      <patternFill patternType="solid">
        <fgColor rgb="00C65911"/>
        <bgColor rgb="00C65911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6" customWidth="1" min="4" max="4"/>
    <col width="8" customWidth="1" min="5" max="5"/>
    <col width="14" customWidth="1" min="6" max="6"/>
    <col width="14" customWidth="1" min="7" max="7"/>
    <col width="14" customWidth="1" min="8" max="8"/>
    <col width="10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5" customWidth="1" min="16" max="16"/>
    <col width="14" customWidth="1" min="17" max="17"/>
    <col width="35" customWidth="1" min="18" max="18"/>
  </cols>
  <sheetData>
    <row r="1" ht="28" customHeight="1">
      <c r="A1" s="1" t="inlineStr">
        <is>
          <t>★ 부산시청 축구회 선수단 명단 및 FIFA 6대 능력치 입력 양식 (J~O열 점수 입력시 P열 총점/Q열 OVR 자동 계산, 포지션 최대 3개) ★</t>
        </is>
      </c>
    </row>
    <row r="2" ht="24" customHeight="1">
      <c r="A2" s="2" t="inlineStr">
        <is>
          <t>선수ID</t>
        </is>
      </c>
      <c r="B2" s="2" t="inlineStr">
        <is>
          <t>등번호</t>
        </is>
      </c>
      <c r="C2" s="2" t="inlineStr">
        <is>
          <t>이름</t>
        </is>
      </c>
      <c r="D2" s="2" t="inlineStr">
        <is>
          <t>소속부서</t>
        </is>
      </c>
      <c r="E2" s="2" t="inlineStr">
        <is>
          <t>나이</t>
        </is>
      </c>
      <c r="F2" s="2" t="inlineStr">
        <is>
          <t>주포지션(1순위)</t>
        </is>
      </c>
      <c r="G2" s="2" t="inlineStr">
        <is>
          <t>부포지션(2순위)</t>
        </is>
      </c>
      <c r="H2" s="2" t="inlineStr">
        <is>
          <t>부포지션(3순위)</t>
        </is>
      </c>
      <c r="I2" s="2" t="inlineStr">
        <is>
          <t>주발</t>
        </is>
      </c>
      <c r="J2" s="2" t="inlineStr">
        <is>
          <t>PAC(주력)</t>
        </is>
      </c>
      <c r="K2" s="2" t="inlineStr">
        <is>
          <t>SHO(슈팅)</t>
        </is>
      </c>
      <c r="L2" s="2" t="inlineStr">
        <is>
          <t>PAS(패스)</t>
        </is>
      </c>
      <c r="M2" s="2" t="inlineStr">
        <is>
          <t>DRI(드리블)</t>
        </is>
      </c>
      <c r="N2" s="2" t="inlineStr">
        <is>
          <t>DEF(수비)</t>
        </is>
      </c>
      <c r="O2" s="2" t="inlineStr">
        <is>
          <t>PHY(피지컬)</t>
        </is>
      </c>
      <c r="P2" s="3" t="inlineStr">
        <is>
          <t>총점(6개합계)</t>
        </is>
      </c>
      <c r="Q2" s="3" t="inlineStr">
        <is>
          <t>종합평점(OVR)</t>
        </is>
      </c>
      <c r="R2" s="2" t="inlineStr">
        <is>
          <t>선수특징/메모</t>
        </is>
      </c>
    </row>
    <row r="3" ht="20" customHeight="1">
      <c r="A3" s="4" t="inlineStr">
        <is>
          <t>p1</t>
        </is>
      </c>
      <c r="B3" s="5" t="n">
        <v>10</v>
      </c>
      <c r="C3" s="6" t="inlineStr">
        <is>
          <t>김용걸</t>
        </is>
      </c>
      <c r="D3" s="7" t="inlineStr">
        <is>
          <t>체육진흥과</t>
        </is>
      </c>
      <c r="E3" s="4" t="n">
        <v>38</v>
      </c>
      <c r="F3" s="4" t="inlineStr">
        <is>
          <t>CAM</t>
        </is>
      </c>
      <c r="G3" s="4" t="inlineStr">
        <is>
          <t>CM</t>
        </is>
      </c>
      <c r="H3" s="4" t="inlineStr">
        <is>
          <t>ST</t>
        </is>
      </c>
      <c r="I3" s="4" t="inlineStr">
        <is>
          <t>오른발</t>
        </is>
      </c>
      <c r="J3" s="4" t="n">
        <v>84</v>
      </c>
      <c r="K3" s="4" t="n">
        <v>86</v>
      </c>
      <c r="L3" s="4" t="n">
        <v>89</v>
      </c>
      <c r="M3" s="4" t="n">
        <v>87</v>
      </c>
      <c r="N3" s="4" t="n">
        <v>65</v>
      </c>
      <c r="O3" s="4" t="n">
        <v>81</v>
      </c>
      <c r="P3" s="8">
        <f>SUM(J3:O3)</f>
        <v/>
      </c>
      <c r="Q3" s="8">
        <f>ROUND(AVERAGE(J3:O3), 0)</f>
        <v/>
      </c>
      <c r="R3" s="7" t="inlineStr">
        <is>
          <t>축구회 주장 및 중원 플레이메이커. 경기 조율 및 날카로운 킬패스 탁월</t>
        </is>
      </c>
    </row>
    <row r="4" ht="20" customHeight="1">
      <c r="A4" s="4" t="inlineStr">
        <is>
          <t>p2</t>
        </is>
      </c>
      <c r="B4" s="5" t="n">
        <v>9</v>
      </c>
      <c r="C4" s="6" t="inlineStr">
        <is>
          <t>박준혁</t>
        </is>
      </c>
      <c r="D4" s="7" t="inlineStr">
        <is>
          <t>일자리경제과</t>
        </is>
      </c>
      <c r="E4" s="4" t="n">
        <v>32</v>
      </c>
      <c r="F4" s="4" t="inlineStr">
        <is>
          <t>ST</t>
        </is>
      </c>
      <c r="G4" s="4" t="inlineStr">
        <is>
          <t>RW</t>
        </is>
      </c>
      <c r="H4" s="4" t="inlineStr">
        <is>
          <t>CAM</t>
        </is>
      </c>
      <c r="I4" s="4" t="inlineStr">
        <is>
          <t>양발</t>
        </is>
      </c>
      <c r="J4" s="4" t="n">
        <v>88</v>
      </c>
      <c r="K4" s="4" t="n">
        <v>87</v>
      </c>
      <c r="L4" s="4" t="n">
        <v>73</v>
      </c>
      <c r="M4" s="4" t="n">
        <v>82</v>
      </c>
      <c r="N4" s="4" t="n">
        <v>45</v>
      </c>
      <c r="O4" s="4" t="n">
        <v>84</v>
      </c>
      <c r="P4" s="8">
        <f>SUM(J4:O4)</f>
        <v/>
      </c>
      <c r="Q4" s="8">
        <f>ROUND(AVERAGE(J4:O4), 0)</f>
        <v/>
      </c>
      <c r="R4" s="7" t="inlineStr">
        <is>
          <t>결정력이 뛰어난 스트라이커. 박스 안 침착성과 양발 슈팅 능력 발군</t>
        </is>
      </c>
    </row>
    <row r="5" ht="20" customHeight="1">
      <c r="A5" s="4" t="inlineStr">
        <is>
          <t>p3</t>
        </is>
      </c>
      <c r="B5" s="5" t="n">
        <v>7</v>
      </c>
      <c r="C5" s="6" t="inlineStr">
        <is>
          <t>이민재</t>
        </is>
      </c>
      <c r="D5" s="7" t="inlineStr">
        <is>
          <t>도시계획과</t>
        </is>
      </c>
      <c r="E5" s="4" t="n">
        <v>29</v>
      </c>
      <c r="F5" s="4" t="inlineStr">
        <is>
          <t>LW</t>
        </is>
      </c>
      <c r="G5" s="4" t="inlineStr">
        <is>
          <t>RW</t>
        </is>
      </c>
      <c r="H5" s="4" t="inlineStr">
        <is>
          <t>ST</t>
        </is>
      </c>
      <c r="I5" s="4" t="inlineStr">
        <is>
          <t>오른발</t>
        </is>
      </c>
      <c r="J5" s="4" t="n">
        <v>91</v>
      </c>
      <c r="K5" s="4" t="n">
        <v>81</v>
      </c>
      <c r="L5" s="4" t="n">
        <v>78</v>
      </c>
      <c r="M5" s="4" t="n">
        <v>86</v>
      </c>
      <c r="N5" s="4" t="n">
        <v>52</v>
      </c>
      <c r="O5" s="4" t="n">
        <v>75</v>
      </c>
      <c r="P5" s="8">
        <f>SUM(J5:O5)</f>
        <v/>
      </c>
      <c r="Q5" s="8">
        <f>ROUND(AVERAGE(J5:O5), 0)</f>
        <v/>
      </c>
      <c r="R5" s="7" t="inlineStr">
        <is>
          <t>폭발적인 주력을 가진 윙어. 측면 돌파 및 컷인 슈팅 주특기</t>
        </is>
      </c>
    </row>
    <row r="6" ht="20" customHeight="1">
      <c r="A6" s="4" t="inlineStr">
        <is>
          <t>p4</t>
        </is>
      </c>
      <c r="B6" s="5" t="n">
        <v>11</v>
      </c>
      <c r="C6" s="6" t="inlineStr">
        <is>
          <t>정현우</t>
        </is>
      </c>
      <c r="D6" s="7" t="inlineStr">
        <is>
          <t>교통혁신과</t>
        </is>
      </c>
      <c r="E6" s="4" t="n">
        <v>31</v>
      </c>
      <c r="F6" s="4" t="inlineStr">
        <is>
          <t>RW</t>
        </is>
      </c>
      <c r="G6" s="4" t="inlineStr">
        <is>
          <t>LW</t>
        </is>
      </c>
      <c r="H6" s="4" t="inlineStr">
        <is>
          <t>RM</t>
        </is>
      </c>
      <c r="I6" s="4" t="inlineStr">
        <is>
          <t>왼발</t>
        </is>
      </c>
      <c r="J6" s="4" t="n">
        <v>89</v>
      </c>
      <c r="K6" s="4" t="n">
        <v>79</v>
      </c>
      <c r="L6" s="4" t="n">
        <v>82</v>
      </c>
      <c r="M6" s="4" t="n">
        <v>85</v>
      </c>
      <c r="N6" s="4" t="n">
        <v>54</v>
      </c>
      <c r="O6" s="4" t="n">
        <v>74</v>
      </c>
      <c r="P6" s="8">
        <f>SUM(J6:O6)</f>
        <v/>
      </c>
      <c r="Q6" s="8">
        <f>ROUND(AVERAGE(J6:O6), 0)</f>
        <v/>
      </c>
      <c r="R6" s="7" t="inlineStr">
        <is>
          <t>정교한 왼발 크로스를 구사하는 테크니션 윙어</t>
        </is>
      </c>
    </row>
    <row r="7" ht="20" customHeight="1">
      <c r="A7" s="4" t="inlineStr">
        <is>
          <t>p5</t>
        </is>
      </c>
      <c r="B7" s="5" t="n">
        <v>8</v>
      </c>
      <c r="C7" s="6" t="inlineStr">
        <is>
          <t>강동진</t>
        </is>
      </c>
      <c r="D7" s="7" t="inlineStr">
        <is>
          <t>총무과</t>
        </is>
      </c>
      <c r="E7" s="4" t="n">
        <v>35</v>
      </c>
      <c r="F7" s="4" t="inlineStr">
        <is>
          <t>CM</t>
        </is>
      </c>
      <c r="G7" s="4" t="inlineStr">
        <is>
          <t>CAM</t>
        </is>
      </c>
      <c r="H7" s="4" t="inlineStr">
        <is>
          <t>CDM</t>
        </is>
      </c>
      <c r="I7" s="4" t="inlineStr">
        <is>
          <t>오른발</t>
        </is>
      </c>
      <c r="J7" s="4" t="n">
        <v>77</v>
      </c>
      <c r="K7" s="4" t="n">
        <v>78</v>
      </c>
      <c r="L7" s="4" t="n">
        <v>85</v>
      </c>
      <c r="M7" s="4" t="n">
        <v>80</v>
      </c>
      <c r="N7" s="4" t="n">
        <v>74</v>
      </c>
      <c r="O7" s="4" t="n">
        <v>83</v>
      </c>
      <c r="P7" s="8">
        <f>SUM(J7:O7)</f>
        <v/>
      </c>
      <c r="Q7" s="8">
        <f>ROUND(AVERAGE(J7:O7), 0)</f>
        <v/>
      </c>
      <c r="R7" s="7" t="inlineStr">
        <is>
          <t>왕성한 활동량의 박스 투 박스 미드필더. 공수 연결고리 역할</t>
        </is>
      </c>
    </row>
    <row r="8" ht="20" customHeight="1">
      <c r="A8" s="4" t="inlineStr">
        <is>
          <t>p6</t>
        </is>
      </c>
      <c r="B8" s="5" t="n">
        <v>6</v>
      </c>
      <c r="C8" s="6" t="inlineStr">
        <is>
          <t>최성호</t>
        </is>
      </c>
      <c r="D8" s="7" t="inlineStr">
        <is>
          <t>안전총괄과</t>
        </is>
      </c>
      <c r="E8" s="4" t="n">
        <v>36</v>
      </c>
      <c r="F8" s="4" t="inlineStr">
        <is>
          <t>CDM</t>
        </is>
      </c>
      <c r="G8" s="4" t="inlineStr">
        <is>
          <t>CB</t>
        </is>
      </c>
      <c r="H8" s="4" t="inlineStr">
        <is>
          <t>CM</t>
        </is>
      </c>
      <c r="I8" s="4" t="inlineStr">
        <is>
          <t>오른발</t>
        </is>
      </c>
      <c r="J8" s="4" t="n">
        <v>73</v>
      </c>
      <c r="K8" s="4" t="n">
        <v>65</v>
      </c>
      <c r="L8" s="4" t="n">
        <v>80</v>
      </c>
      <c r="M8" s="4" t="n">
        <v>76</v>
      </c>
      <c r="N8" s="4" t="n">
        <v>86</v>
      </c>
      <c r="O8" s="4" t="n">
        <v>88</v>
      </c>
      <c r="P8" s="8">
        <f>SUM(J8:O8)</f>
        <v/>
      </c>
      <c r="Q8" s="8">
        <f>ROUND(AVERAGE(J8:O8), 0)</f>
        <v/>
      </c>
      <c r="R8" s="7" t="inlineStr">
        <is>
          <t>피지컬을 앞세운 볼 탈환 전문가. 상대 공격 차단 및 후방 커버</t>
        </is>
      </c>
    </row>
    <row r="9" ht="20" customHeight="1">
      <c r="A9" s="4" t="inlineStr">
        <is>
          <t>p7</t>
        </is>
      </c>
      <c r="B9" s="5" t="n">
        <v>3</v>
      </c>
      <c r="C9" s="6" t="inlineStr">
        <is>
          <t>조승원</t>
        </is>
      </c>
      <c r="D9" s="7" t="inlineStr">
        <is>
          <t>환경정책과</t>
        </is>
      </c>
      <c r="E9" s="4" t="n">
        <v>30</v>
      </c>
      <c r="F9" s="4" t="inlineStr">
        <is>
          <t>LB</t>
        </is>
      </c>
      <c r="G9" s="4" t="inlineStr">
        <is>
          <t>LWB</t>
        </is>
      </c>
      <c r="H9" s="4" t="inlineStr">
        <is>
          <t>CB</t>
        </is>
      </c>
      <c r="I9" s="4" t="inlineStr">
        <is>
          <t>왼발</t>
        </is>
      </c>
      <c r="J9" s="4" t="n">
        <v>85</v>
      </c>
      <c r="K9" s="4" t="n">
        <v>64</v>
      </c>
      <c r="L9" s="4" t="n">
        <v>78</v>
      </c>
      <c r="M9" s="4" t="n">
        <v>77</v>
      </c>
      <c r="N9" s="4" t="n">
        <v>81</v>
      </c>
      <c r="O9" s="4" t="n">
        <v>79</v>
      </c>
      <c r="P9" s="8">
        <f>SUM(J9:O9)</f>
        <v/>
      </c>
      <c r="Q9" s="8">
        <f>ROUND(AVERAGE(J9:O9), 0)</f>
        <v/>
      </c>
      <c r="R9" s="7" t="inlineStr">
        <is>
          <t>공수 밸런스가 좋은 레프트백. 적극적인 오버래핑</t>
        </is>
      </c>
    </row>
    <row r="10" ht="20" customHeight="1">
      <c r="A10" s="4" t="inlineStr">
        <is>
          <t>p8</t>
        </is>
      </c>
      <c r="B10" s="5" t="n">
        <v>4</v>
      </c>
      <c r="C10" s="6" t="inlineStr">
        <is>
          <t>윤태식</t>
        </is>
      </c>
      <c r="D10" s="7" t="inlineStr">
        <is>
          <t>건설행정과</t>
        </is>
      </c>
      <c r="E10" s="4" t="n">
        <v>37</v>
      </c>
      <c r="F10" s="4" t="inlineStr">
        <is>
          <t>CB</t>
        </is>
      </c>
      <c r="G10" s="4" t="inlineStr">
        <is>
          <t>CDM</t>
        </is>
      </c>
      <c r="H10" s="4" t="inlineStr">
        <is>
          <t>RB</t>
        </is>
      </c>
      <c r="I10" s="4" t="inlineStr">
        <is>
          <t>오른발</t>
        </is>
      </c>
      <c r="J10" s="4" t="n">
        <v>72</v>
      </c>
      <c r="K10" s="4" t="n">
        <v>55</v>
      </c>
      <c r="L10" s="4" t="n">
        <v>74</v>
      </c>
      <c r="M10" s="4" t="n">
        <v>70</v>
      </c>
      <c r="N10" s="4" t="n">
        <v>88</v>
      </c>
      <c r="O10" s="4" t="n">
        <v>90</v>
      </c>
      <c r="P10" s="8">
        <f>SUM(J10:O10)</f>
        <v/>
      </c>
      <c r="Q10" s="8">
        <f>ROUND(AVERAGE(J10:O10), 0)</f>
        <v/>
      </c>
      <c r="R10" s="7" t="inlineStr">
        <is>
          <t>수비라인의 통곡의 벽. 제공권 장악 및 강력한 대인방어</t>
        </is>
      </c>
    </row>
    <row r="11" ht="20" customHeight="1">
      <c r="A11" s="4" t="inlineStr">
        <is>
          <t>p9</t>
        </is>
      </c>
      <c r="B11" s="5" t="n">
        <v>5</v>
      </c>
      <c r="C11" s="6" t="inlineStr">
        <is>
          <t>서지훈</t>
        </is>
      </c>
      <c r="D11" s="7" t="inlineStr">
        <is>
          <t>감사위원회</t>
        </is>
      </c>
      <c r="E11" s="4" t="n">
        <v>34</v>
      </c>
      <c r="F11" s="4" t="inlineStr">
        <is>
          <t>CB</t>
        </is>
      </c>
      <c r="G11" s="4" t="inlineStr">
        <is>
          <t>RB</t>
        </is>
      </c>
      <c r="H11" s="4" t="inlineStr">
        <is>
          <t>CDM</t>
        </is>
      </c>
      <c r="I11" s="4" t="inlineStr">
        <is>
          <t>오른발</t>
        </is>
      </c>
      <c r="J11" s="4" t="n">
        <v>76</v>
      </c>
      <c r="K11" s="4" t="n">
        <v>52</v>
      </c>
      <c r="L11" s="4" t="n">
        <v>76</v>
      </c>
      <c r="M11" s="4" t="n">
        <v>72</v>
      </c>
      <c r="N11" s="4" t="n">
        <v>86</v>
      </c>
      <c r="O11" s="4" t="n">
        <v>85</v>
      </c>
      <c r="P11" s="8">
        <f>SUM(J11:O11)</f>
        <v/>
      </c>
      <c r="Q11" s="8">
        <f>ROUND(AVERAGE(J11:O11), 0)</f>
        <v/>
      </c>
      <c r="R11" s="7" t="inlineStr">
        <is>
          <t>냉철한 판단력과 뛰어난 인터셉트 능력의 지능형 센터백</t>
        </is>
      </c>
    </row>
    <row r="12" ht="20" customHeight="1">
      <c r="A12" s="4" t="inlineStr">
        <is>
          <t>p10</t>
        </is>
      </c>
      <c r="B12" s="5" t="n">
        <v>2</v>
      </c>
      <c r="C12" s="6" t="inlineStr">
        <is>
          <t>한상우</t>
        </is>
      </c>
      <c r="D12" s="7" t="inlineStr">
        <is>
          <t>스마트도시과</t>
        </is>
      </c>
      <c r="E12" s="4" t="n">
        <v>28</v>
      </c>
      <c r="F12" s="4" t="inlineStr">
        <is>
          <t>RB</t>
        </is>
      </c>
      <c r="G12" s="4" t="inlineStr">
        <is>
          <t>RWB</t>
        </is>
      </c>
      <c r="H12" s="4" t="inlineStr">
        <is>
          <t>RM</t>
        </is>
      </c>
      <c r="I12" s="4" t="inlineStr">
        <is>
          <t>오른발</t>
        </is>
      </c>
      <c r="J12" s="4" t="n">
        <v>87</v>
      </c>
      <c r="K12" s="4" t="n">
        <v>68</v>
      </c>
      <c r="L12" s="4" t="n">
        <v>79</v>
      </c>
      <c r="M12" s="4" t="n">
        <v>80</v>
      </c>
      <c r="N12" s="4" t="n">
        <v>80</v>
      </c>
      <c r="O12" s="4" t="n">
        <v>78</v>
      </c>
      <c r="P12" s="8">
        <f>SUM(J12:O12)</f>
        <v/>
      </c>
      <c r="Q12" s="8">
        <f>ROUND(AVERAGE(J12:O12), 0)</f>
        <v/>
      </c>
      <c r="R12" s="7" t="inlineStr">
        <is>
          <t>빠른 기동력과 지치지 않는 스태미너의 라이트백</t>
        </is>
      </c>
    </row>
    <row r="13" ht="20" customHeight="1">
      <c r="A13" s="4" t="inlineStr">
        <is>
          <t>p11</t>
        </is>
      </c>
      <c r="B13" s="5" t="n">
        <v>1</v>
      </c>
      <c r="C13" s="6" t="inlineStr">
        <is>
          <t>오세범</t>
        </is>
      </c>
      <c r="D13" s="7" t="inlineStr">
        <is>
          <t>재난대응과</t>
        </is>
      </c>
      <c r="E13" s="4" t="n">
        <v>39</v>
      </c>
      <c r="F13" s="4" t="inlineStr">
        <is>
          <t>GK</t>
        </is>
      </c>
      <c r="G13" s="4" t="inlineStr"/>
      <c r="H13" s="4" t="inlineStr"/>
      <c r="I13" s="4" t="inlineStr">
        <is>
          <t>오른발</t>
        </is>
      </c>
      <c r="J13" s="4" t="n">
        <v>68</v>
      </c>
      <c r="K13" s="4" t="n">
        <v>50</v>
      </c>
      <c r="L13" s="4" t="n">
        <v>75</v>
      </c>
      <c r="M13" s="4" t="n">
        <v>66</v>
      </c>
      <c r="N13" s="4" t="n">
        <v>88</v>
      </c>
      <c r="O13" s="4" t="n">
        <v>87</v>
      </c>
      <c r="P13" s="8">
        <f>SUM(J13:O13)</f>
        <v/>
      </c>
      <c r="Q13" s="8">
        <f>ROUND(AVERAGE(J13:O13), 0)</f>
        <v/>
      </c>
      <c r="R13" s="7" t="inlineStr">
        <is>
          <t>부산시청 넘버원 수문장. 안정적인 공중볼 처리와 동물적 반사신경</t>
        </is>
      </c>
    </row>
    <row r="14" ht="20" customHeight="1">
      <c r="A14" s="4" t="inlineStr">
        <is>
          <t>p12</t>
        </is>
      </c>
      <c r="B14" s="5" t="n">
        <v>18</v>
      </c>
      <c r="C14" s="6" t="inlineStr">
        <is>
          <t>문경호</t>
        </is>
      </c>
      <c r="D14" s="7" t="inlineStr">
        <is>
          <t>복지정책과</t>
        </is>
      </c>
      <c r="E14" s="4" t="n">
        <v>33</v>
      </c>
      <c r="F14" s="4" t="inlineStr">
        <is>
          <t>ST</t>
        </is>
      </c>
      <c r="G14" s="4" t="inlineStr">
        <is>
          <t>CAM</t>
        </is>
      </c>
      <c r="H14" s="4" t="inlineStr">
        <is>
          <t>CF</t>
        </is>
      </c>
      <c r="I14" s="4" t="inlineStr">
        <is>
          <t>오른발</t>
        </is>
      </c>
      <c r="J14" s="4" t="n">
        <v>81</v>
      </c>
      <c r="K14" s="4" t="n">
        <v>83</v>
      </c>
      <c r="L14" s="4" t="n">
        <v>72</v>
      </c>
      <c r="M14" s="4" t="n">
        <v>77</v>
      </c>
      <c r="N14" s="4" t="n">
        <v>48</v>
      </c>
      <c r="O14" s="4" t="n">
        <v>85</v>
      </c>
      <c r="P14" s="8">
        <f>SUM(J14:O14)</f>
        <v/>
      </c>
      <c r="Q14" s="8">
        <f>ROUND(AVERAGE(J14:O14), 0)</f>
        <v/>
      </c>
      <c r="R14" s="7" t="inlineStr">
        <is>
          <t>타깃형 공격수. 헤더와 등지는 플레이로 2선 침투 기회 창출</t>
        </is>
      </c>
    </row>
    <row r="15" ht="20" customHeight="1">
      <c r="A15" s="4" t="inlineStr">
        <is>
          <t>p13</t>
        </is>
      </c>
      <c r="B15" s="5" t="n">
        <v>14</v>
      </c>
      <c r="C15" s="6" t="inlineStr">
        <is>
          <t>배성민</t>
        </is>
      </c>
      <c r="D15" s="7" t="inlineStr">
        <is>
          <t>문화예술과</t>
        </is>
      </c>
      <c r="E15" s="4" t="n">
        <v>27</v>
      </c>
      <c r="F15" s="4" t="inlineStr">
        <is>
          <t>CM</t>
        </is>
      </c>
      <c r="G15" s="4" t="inlineStr">
        <is>
          <t>LM</t>
        </is>
      </c>
      <c r="H15" s="4" t="inlineStr">
        <is>
          <t>RM</t>
        </is>
      </c>
      <c r="I15" s="4" t="inlineStr">
        <is>
          <t>양발</t>
        </is>
      </c>
      <c r="J15" s="4" t="n">
        <v>82</v>
      </c>
      <c r="K15" s="4" t="n">
        <v>74</v>
      </c>
      <c r="L15" s="4" t="n">
        <v>81</v>
      </c>
      <c r="M15" s="4" t="n">
        <v>82</v>
      </c>
      <c r="N15" s="4" t="n">
        <v>68</v>
      </c>
      <c r="O15" s="4" t="n">
        <v>76</v>
      </c>
      <c r="P15" s="8">
        <f>SUM(J15:O15)</f>
        <v/>
      </c>
      <c r="Q15" s="8">
        <f>ROUND(AVERAGE(J15:O15), 0)</f>
        <v/>
      </c>
      <c r="R15" s="7" t="inlineStr">
        <is>
          <t>젊은 피의 패기. 빠른 템포와 탈압박이 장점인 미드필더</t>
        </is>
      </c>
    </row>
    <row r="16" ht="20" customHeight="1">
      <c r="A16" s="4" t="inlineStr">
        <is>
          <t>p14</t>
        </is>
      </c>
      <c r="B16" s="5" t="n">
        <v>16</v>
      </c>
      <c r="C16" s="6" t="inlineStr">
        <is>
          <t>송치원</t>
        </is>
      </c>
      <c r="D16" s="7" t="inlineStr">
        <is>
          <t>해양수산과</t>
        </is>
      </c>
      <c r="E16" s="4" t="n">
        <v>35</v>
      </c>
      <c r="F16" s="4" t="inlineStr">
        <is>
          <t>CDM</t>
        </is>
      </c>
      <c r="G16" s="4" t="inlineStr">
        <is>
          <t>CB</t>
        </is>
      </c>
      <c r="H16" s="4" t="inlineStr">
        <is>
          <t>CM</t>
        </is>
      </c>
      <c r="I16" s="4" t="inlineStr">
        <is>
          <t>오른발</t>
        </is>
      </c>
      <c r="J16" s="4" t="n">
        <v>71</v>
      </c>
      <c r="K16" s="4" t="n">
        <v>60</v>
      </c>
      <c r="L16" s="4" t="n">
        <v>75</v>
      </c>
      <c r="M16" s="4" t="n">
        <v>71</v>
      </c>
      <c r="N16" s="4" t="n">
        <v>82</v>
      </c>
      <c r="O16" s="4" t="n">
        <v>86</v>
      </c>
      <c r="P16" s="8">
        <f>SUM(J16:O16)</f>
        <v/>
      </c>
      <c r="Q16" s="8">
        <f>ROUND(AVERAGE(J16:O16), 0)</f>
        <v/>
      </c>
      <c r="R16" s="7" t="inlineStr">
        <is>
          <t>거친 몸싸움과 끈질긴 압박으로 상대 에이스 무력화</t>
        </is>
      </c>
    </row>
    <row r="17" ht="20" customHeight="1">
      <c r="A17" s="4" t="inlineStr">
        <is>
          <t>p15</t>
        </is>
      </c>
      <c r="B17" s="5" t="n">
        <v>20</v>
      </c>
      <c r="C17" s="6" t="inlineStr">
        <is>
          <t>임재현</t>
        </is>
      </c>
      <c r="D17" s="7" t="inlineStr">
        <is>
          <t>공원여가정책과</t>
        </is>
      </c>
      <c r="E17" s="4" t="n">
        <v>31</v>
      </c>
      <c r="F17" s="4" t="inlineStr">
        <is>
          <t>CB</t>
        </is>
      </c>
      <c r="G17" s="4" t="inlineStr">
        <is>
          <t>LB</t>
        </is>
      </c>
      <c r="H17" s="4" t="inlineStr">
        <is>
          <t>RB</t>
        </is>
      </c>
      <c r="I17" s="4" t="inlineStr">
        <is>
          <t>오른발</t>
        </is>
      </c>
      <c r="J17" s="4" t="n">
        <v>78</v>
      </c>
      <c r="K17" s="4" t="n">
        <v>54</v>
      </c>
      <c r="L17" s="4" t="n">
        <v>72</v>
      </c>
      <c r="M17" s="4" t="n">
        <v>73</v>
      </c>
      <c r="N17" s="4" t="n">
        <v>82</v>
      </c>
      <c r="O17" s="4" t="n">
        <v>81</v>
      </c>
      <c r="P17" s="8">
        <f>SUM(J17:O17)</f>
        <v/>
      </c>
      <c r="Q17" s="8">
        <f>ROUND(AVERAGE(J17:O17), 0)</f>
        <v/>
      </c>
      <c r="R17" s="7" t="inlineStr">
        <is>
          <t>수비 전 지역 소화 가능한 유틸리티 수비수</t>
        </is>
      </c>
    </row>
    <row r="18" ht="20" customHeight="1">
      <c r="A18" s="4" t="inlineStr">
        <is>
          <t>p16</t>
        </is>
      </c>
      <c r="B18" s="5" t="n">
        <v>17</v>
      </c>
      <c r="C18" s="6" t="inlineStr">
        <is>
          <t>유도훈</t>
        </is>
      </c>
      <c r="D18" s="7" t="inlineStr">
        <is>
          <t>세정과</t>
        </is>
      </c>
      <c r="E18" s="4" t="n">
        <v>29</v>
      </c>
      <c r="F18" s="4" t="inlineStr">
        <is>
          <t>LW</t>
        </is>
      </c>
      <c r="G18" s="4" t="inlineStr">
        <is>
          <t>LB</t>
        </is>
      </c>
      <c r="H18" s="4" t="inlineStr">
        <is>
          <t>LM</t>
        </is>
      </c>
      <c r="I18" s="4" t="inlineStr">
        <is>
          <t>왼발</t>
        </is>
      </c>
      <c r="J18" s="4" t="n">
        <v>86</v>
      </c>
      <c r="K18" s="4" t="n">
        <v>73</v>
      </c>
      <c r="L18" s="4" t="n">
        <v>76</v>
      </c>
      <c r="M18" s="4" t="n">
        <v>81</v>
      </c>
      <c r="N18" s="4" t="n">
        <v>60</v>
      </c>
      <c r="O18" s="4" t="n">
        <v>73</v>
      </c>
      <c r="P18" s="8">
        <f>SUM(J18:O18)</f>
        <v/>
      </c>
      <c r="Q18" s="8">
        <f>ROUND(AVERAGE(J18:O18), 0)</f>
        <v/>
      </c>
      <c r="R18" s="7" t="inlineStr">
        <is>
          <t>측면 스피드스터. 후반 조커로 투입 시 상대 수비진 교란</t>
        </is>
      </c>
    </row>
    <row r="19" ht="20" customHeight="1">
      <c r="A19" s="4" t="inlineStr">
        <is>
          <t>p17</t>
        </is>
      </c>
      <c r="B19" s="5" t="n">
        <v>19</v>
      </c>
      <c r="C19" s="6" t="inlineStr">
        <is>
          <t>권영진</t>
        </is>
      </c>
      <c r="D19" s="7" t="inlineStr">
        <is>
          <t>디지털경제혁신실</t>
        </is>
      </c>
      <c r="E19" s="4" t="n">
        <v>30</v>
      </c>
      <c r="F19" s="4" t="inlineStr">
        <is>
          <t>RB</t>
        </is>
      </c>
      <c r="G19" s="4" t="inlineStr">
        <is>
          <t>RWB</t>
        </is>
      </c>
      <c r="H19" s="4" t="inlineStr">
        <is>
          <t>CB</t>
        </is>
      </c>
      <c r="I19" s="4" t="inlineStr">
        <is>
          <t>오른발</t>
        </is>
      </c>
      <c r="J19" s="4" t="n">
        <v>83</v>
      </c>
      <c r="K19" s="4" t="n">
        <v>62</v>
      </c>
      <c r="L19" s="4" t="n">
        <v>75</v>
      </c>
      <c r="M19" s="4" t="n">
        <v>76</v>
      </c>
      <c r="N19" s="4" t="n">
        <v>77</v>
      </c>
      <c r="O19" s="4" t="n">
        <v>78</v>
      </c>
      <c r="P19" s="8">
        <f>SUM(J19:O19)</f>
        <v/>
      </c>
      <c r="Q19" s="8">
        <f>ROUND(AVERAGE(J19:O19), 0)</f>
        <v/>
      </c>
      <c r="R19" s="7" t="inlineStr">
        <is>
          <t>안정적인 수비와 지능적인 패스워크를 겸비한 풀백</t>
        </is>
      </c>
    </row>
    <row r="20" ht="20" customHeight="1">
      <c r="A20" s="4" t="inlineStr">
        <is>
          <t>p18</t>
        </is>
      </c>
      <c r="B20" s="5" t="n">
        <v>21</v>
      </c>
      <c r="C20" s="6" t="inlineStr">
        <is>
          <t>신동엽</t>
        </is>
      </c>
      <c r="D20" s="7" t="inlineStr">
        <is>
          <t>관광마이스과</t>
        </is>
      </c>
      <c r="E20" s="4" t="n">
        <v>32</v>
      </c>
      <c r="F20" s="4" t="inlineStr">
        <is>
          <t>GK</t>
        </is>
      </c>
      <c r="G20" s="4" t="inlineStr"/>
      <c r="H20" s="4" t="inlineStr"/>
      <c r="I20" s="4" t="inlineStr">
        <is>
          <t>오른발</t>
        </is>
      </c>
      <c r="J20" s="4" t="n">
        <v>65</v>
      </c>
      <c r="K20" s="4" t="n">
        <v>48</v>
      </c>
      <c r="L20" s="4" t="n">
        <v>72</v>
      </c>
      <c r="M20" s="4" t="n">
        <v>64</v>
      </c>
      <c r="N20" s="4" t="n">
        <v>82</v>
      </c>
      <c r="O20" s="4" t="n">
        <v>81</v>
      </c>
      <c r="P20" s="8">
        <f>SUM(J20:O20)</f>
        <v/>
      </c>
      <c r="Q20" s="8">
        <f>ROUND(AVERAGE(J20:O20), 0)</f>
        <v/>
      </c>
      <c r="R20" s="7" t="inlineStr">
        <is>
          <t>뛰어난 순발력의 서브 골키퍼. 승부차기 페널티킥 선방 능력 우수</t>
        </is>
      </c>
    </row>
    <row r="21" ht="20" customHeight="1">
      <c r="A21" s="4" t="inlineStr">
        <is>
          <t>p_new_1</t>
        </is>
      </c>
      <c r="B21" s="4" t="inlineStr"/>
      <c r="C21" s="7" t="inlineStr"/>
      <c r="D21" s="7" t="inlineStr"/>
      <c r="E21" s="4" t="inlineStr"/>
      <c r="F21" s="4" t="inlineStr">
        <is>
          <t>CM</t>
        </is>
      </c>
      <c r="G21" s="4" t="inlineStr"/>
      <c r="H21" s="4" t="inlineStr"/>
      <c r="I21" s="4" t="inlineStr">
        <is>
          <t>오른발</t>
        </is>
      </c>
      <c r="J21" s="4" t="inlineStr"/>
      <c r="K21" s="4" t="inlineStr"/>
      <c r="L21" s="4" t="inlineStr"/>
      <c r="M21" s="4" t="inlineStr"/>
      <c r="N21" s="4" t="inlineStr"/>
      <c r="O21" s="4" t="inlineStr"/>
      <c r="P21" s="9">
        <f>IF(COUNT(J21:O21)&gt;0, SUM(J21:O21), "")</f>
        <v/>
      </c>
      <c r="Q21" s="9">
        <f>IF(COUNT(J21:O21)&gt;0, ROUND(AVERAGE(J21:O21), 0), "")</f>
        <v/>
      </c>
      <c r="R21" s="7" t="inlineStr"/>
    </row>
    <row r="22" ht="20" customHeight="1">
      <c r="A22" s="4" t="inlineStr">
        <is>
          <t>p_new_2</t>
        </is>
      </c>
      <c r="B22" s="4" t="inlineStr"/>
      <c r="C22" s="7" t="inlineStr"/>
      <c r="D22" s="7" t="inlineStr"/>
      <c r="E22" s="4" t="inlineStr"/>
      <c r="F22" s="4" t="inlineStr">
        <is>
          <t>CM</t>
        </is>
      </c>
      <c r="G22" s="4" t="inlineStr"/>
      <c r="H22" s="4" t="inlineStr"/>
      <c r="I22" s="4" t="inlineStr">
        <is>
          <t>오른발</t>
        </is>
      </c>
      <c r="J22" s="4" t="inlineStr"/>
      <c r="K22" s="4" t="inlineStr"/>
      <c r="L22" s="4" t="inlineStr"/>
      <c r="M22" s="4" t="inlineStr"/>
      <c r="N22" s="4" t="inlineStr"/>
      <c r="O22" s="4" t="inlineStr"/>
      <c r="P22" s="9">
        <f>IF(COUNT(J22:O22)&gt;0, SUM(J22:O22), "")</f>
        <v/>
      </c>
      <c r="Q22" s="9">
        <f>IF(COUNT(J22:O22)&gt;0, ROUND(AVERAGE(J22:O22), 0), "")</f>
        <v/>
      </c>
      <c r="R22" s="7" t="inlineStr"/>
    </row>
    <row r="23" ht="20" customHeight="1">
      <c r="A23" s="4" t="inlineStr">
        <is>
          <t>p_new_3</t>
        </is>
      </c>
      <c r="B23" s="4" t="inlineStr"/>
      <c r="C23" s="7" t="inlineStr"/>
      <c r="D23" s="7" t="inlineStr"/>
      <c r="E23" s="4" t="inlineStr"/>
      <c r="F23" s="4" t="inlineStr">
        <is>
          <t>CM</t>
        </is>
      </c>
      <c r="G23" s="4" t="inlineStr"/>
      <c r="H23" s="4" t="inlineStr"/>
      <c r="I23" s="4" t="inlineStr">
        <is>
          <t>오른발</t>
        </is>
      </c>
      <c r="J23" s="4" t="inlineStr"/>
      <c r="K23" s="4" t="inlineStr"/>
      <c r="L23" s="4" t="inlineStr"/>
      <c r="M23" s="4" t="inlineStr"/>
      <c r="N23" s="4" t="inlineStr"/>
      <c r="O23" s="4" t="inlineStr"/>
      <c r="P23" s="9">
        <f>IF(COUNT(J23:O23)&gt;0, SUM(J23:O23), "")</f>
        <v/>
      </c>
      <c r="Q23" s="9">
        <f>IF(COUNT(J23:O23)&gt;0, ROUND(AVERAGE(J23:O23), 0), "")</f>
        <v/>
      </c>
      <c r="R23" s="7" t="inlineStr"/>
    </row>
    <row r="24" ht="20" customHeight="1">
      <c r="A24" s="4" t="inlineStr">
        <is>
          <t>p_new_4</t>
        </is>
      </c>
      <c r="B24" s="4" t="inlineStr"/>
      <c r="C24" s="7" t="inlineStr"/>
      <c r="D24" s="7" t="inlineStr"/>
      <c r="E24" s="4" t="inlineStr"/>
      <c r="F24" s="4" t="inlineStr">
        <is>
          <t>CM</t>
        </is>
      </c>
      <c r="G24" s="4" t="inlineStr"/>
      <c r="H24" s="4" t="inlineStr"/>
      <c r="I24" s="4" t="inlineStr">
        <is>
          <t>오른발</t>
        </is>
      </c>
      <c r="J24" s="4" t="inlineStr"/>
      <c r="K24" s="4" t="inlineStr"/>
      <c r="L24" s="4" t="inlineStr"/>
      <c r="M24" s="4" t="inlineStr"/>
      <c r="N24" s="4" t="inlineStr"/>
      <c r="O24" s="4" t="inlineStr"/>
      <c r="P24" s="9">
        <f>IF(COUNT(J24:O24)&gt;0, SUM(J24:O24), "")</f>
        <v/>
      </c>
      <c r="Q24" s="9">
        <f>IF(COUNT(J24:O24)&gt;0, ROUND(AVERAGE(J24:O24), 0), "")</f>
        <v/>
      </c>
      <c r="R24" s="7" t="inlineStr"/>
    </row>
    <row r="25" ht="20" customHeight="1">
      <c r="A25" s="4" t="inlineStr">
        <is>
          <t>p_new_5</t>
        </is>
      </c>
      <c r="B25" s="4" t="inlineStr"/>
      <c r="C25" s="7" t="inlineStr"/>
      <c r="D25" s="7" t="inlineStr"/>
      <c r="E25" s="4" t="inlineStr"/>
      <c r="F25" s="4" t="inlineStr">
        <is>
          <t>CM</t>
        </is>
      </c>
      <c r="G25" s="4" t="inlineStr"/>
      <c r="H25" s="4" t="inlineStr"/>
      <c r="I25" s="4" t="inlineStr">
        <is>
          <t>오른발</t>
        </is>
      </c>
      <c r="J25" s="4" t="inlineStr"/>
      <c r="K25" s="4" t="inlineStr"/>
      <c r="L25" s="4" t="inlineStr"/>
      <c r="M25" s="4" t="inlineStr"/>
      <c r="N25" s="4" t="inlineStr"/>
      <c r="O25" s="4" t="inlineStr"/>
      <c r="P25" s="9">
        <f>IF(COUNT(J25:O25)&gt;0, SUM(J25:O25), "")</f>
        <v/>
      </c>
      <c r="Q25" s="9">
        <f>IF(COUNT(J25:O25)&gt;0, ROUND(AVERAGE(J25:O25), 0), "")</f>
        <v/>
      </c>
      <c r="R25" s="7" t="inlineStr"/>
    </row>
    <row r="26" ht="20" customHeight="1">
      <c r="A26" s="4" t="inlineStr">
        <is>
          <t>p_new_6</t>
        </is>
      </c>
      <c r="B26" s="4" t="inlineStr"/>
      <c r="C26" s="7" t="inlineStr"/>
      <c r="D26" s="7" t="inlineStr"/>
      <c r="E26" s="4" t="inlineStr"/>
      <c r="F26" s="4" t="inlineStr">
        <is>
          <t>CM</t>
        </is>
      </c>
      <c r="G26" s="4" t="inlineStr"/>
      <c r="H26" s="4" t="inlineStr"/>
      <c r="I26" s="4" t="inlineStr">
        <is>
          <t>오른발</t>
        </is>
      </c>
      <c r="J26" s="4" t="inlineStr"/>
      <c r="K26" s="4" t="inlineStr"/>
      <c r="L26" s="4" t="inlineStr"/>
      <c r="M26" s="4" t="inlineStr"/>
      <c r="N26" s="4" t="inlineStr"/>
      <c r="O26" s="4" t="inlineStr"/>
      <c r="P26" s="9">
        <f>IF(COUNT(J26:O26)&gt;0, SUM(J26:O26), "")</f>
        <v/>
      </c>
      <c r="Q26" s="9">
        <f>IF(COUNT(J26:O26)&gt;0, ROUND(AVERAGE(J26:O26), 0), "")</f>
        <v/>
      </c>
      <c r="R26" s="7" t="inlineStr"/>
    </row>
    <row r="27" ht="20" customHeight="1">
      <c r="A27" s="4" t="inlineStr">
        <is>
          <t>p_new_7</t>
        </is>
      </c>
      <c r="B27" s="4" t="inlineStr"/>
      <c r="C27" s="7" t="inlineStr"/>
      <c r="D27" s="7" t="inlineStr"/>
      <c r="E27" s="4" t="inlineStr"/>
      <c r="F27" s="4" t="inlineStr">
        <is>
          <t>CM</t>
        </is>
      </c>
      <c r="G27" s="4" t="inlineStr"/>
      <c r="H27" s="4" t="inlineStr"/>
      <c r="I27" s="4" t="inlineStr">
        <is>
          <t>오른발</t>
        </is>
      </c>
      <c r="J27" s="4" t="inlineStr"/>
      <c r="K27" s="4" t="inlineStr"/>
      <c r="L27" s="4" t="inlineStr"/>
      <c r="M27" s="4" t="inlineStr"/>
      <c r="N27" s="4" t="inlineStr"/>
      <c r="O27" s="4" t="inlineStr"/>
      <c r="P27" s="9">
        <f>IF(COUNT(J27:O27)&gt;0, SUM(J27:O27), "")</f>
        <v/>
      </c>
      <c r="Q27" s="9">
        <f>IF(COUNT(J27:O27)&gt;0, ROUND(AVERAGE(J27:O27), 0), "")</f>
        <v/>
      </c>
      <c r="R27" s="7" t="inlineStr"/>
    </row>
    <row r="28" ht="20" customHeight="1">
      <c r="A28" s="4" t="inlineStr">
        <is>
          <t>p_new_8</t>
        </is>
      </c>
      <c r="B28" s="4" t="inlineStr"/>
      <c r="C28" s="7" t="inlineStr"/>
      <c r="D28" s="7" t="inlineStr"/>
      <c r="E28" s="4" t="inlineStr"/>
      <c r="F28" s="4" t="inlineStr">
        <is>
          <t>CM</t>
        </is>
      </c>
      <c r="G28" s="4" t="inlineStr"/>
      <c r="H28" s="4" t="inlineStr"/>
      <c r="I28" s="4" t="inlineStr">
        <is>
          <t>오른발</t>
        </is>
      </c>
      <c r="J28" s="4" t="inlineStr"/>
      <c r="K28" s="4" t="inlineStr"/>
      <c r="L28" s="4" t="inlineStr"/>
      <c r="M28" s="4" t="inlineStr"/>
      <c r="N28" s="4" t="inlineStr"/>
      <c r="O28" s="4" t="inlineStr"/>
      <c r="P28" s="9">
        <f>IF(COUNT(J28:O28)&gt;0, SUM(J28:O28), "")</f>
        <v/>
      </c>
      <c r="Q28" s="9">
        <f>IF(COUNT(J28:O28)&gt;0, ROUND(AVERAGE(J28:O28), 0), "")</f>
        <v/>
      </c>
      <c r="R28" s="7" t="inlineStr"/>
    </row>
    <row r="29" ht="20" customHeight="1">
      <c r="A29" s="4" t="inlineStr">
        <is>
          <t>p_new_9</t>
        </is>
      </c>
      <c r="B29" s="4" t="inlineStr"/>
      <c r="C29" s="7" t="inlineStr"/>
      <c r="D29" s="7" t="inlineStr"/>
      <c r="E29" s="4" t="inlineStr"/>
      <c r="F29" s="4" t="inlineStr">
        <is>
          <t>CM</t>
        </is>
      </c>
      <c r="G29" s="4" t="inlineStr"/>
      <c r="H29" s="4" t="inlineStr"/>
      <c r="I29" s="4" t="inlineStr">
        <is>
          <t>오른발</t>
        </is>
      </c>
      <c r="J29" s="4" t="inlineStr"/>
      <c r="K29" s="4" t="inlineStr"/>
      <c r="L29" s="4" t="inlineStr"/>
      <c r="M29" s="4" t="inlineStr"/>
      <c r="N29" s="4" t="inlineStr"/>
      <c r="O29" s="4" t="inlineStr"/>
      <c r="P29" s="9">
        <f>IF(COUNT(J29:O29)&gt;0, SUM(J29:O29), "")</f>
        <v/>
      </c>
      <c r="Q29" s="9">
        <f>IF(COUNT(J29:O29)&gt;0, ROUND(AVERAGE(J29:O29), 0), "")</f>
        <v/>
      </c>
      <c r="R29" s="7" t="inlineStr"/>
    </row>
    <row r="30" ht="20" customHeight="1">
      <c r="A30" s="4" t="inlineStr">
        <is>
          <t>p_new_10</t>
        </is>
      </c>
      <c r="B30" s="4" t="inlineStr"/>
      <c r="C30" s="7" t="inlineStr"/>
      <c r="D30" s="7" t="inlineStr"/>
      <c r="E30" s="4" t="inlineStr"/>
      <c r="F30" s="4" t="inlineStr">
        <is>
          <t>CM</t>
        </is>
      </c>
      <c r="G30" s="4" t="inlineStr"/>
      <c r="H30" s="4" t="inlineStr"/>
      <c r="I30" s="4" t="inlineStr">
        <is>
          <t>오른발</t>
        </is>
      </c>
      <c r="J30" s="4" t="inlineStr"/>
      <c r="K30" s="4" t="inlineStr"/>
      <c r="L30" s="4" t="inlineStr"/>
      <c r="M30" s="4" t="inlineStr"/>
      <c r="N30" s="4" t="inlineStr"/>
      <c r="O30" s="4" t="inlineStr"/>
      <c r="P30" s="9">
        <f>IF(COUNT(J30:O30)&gt;0, SUM(J30:O30), "")</f>
        <v/>
      </c>
      <c r="Q30" s="9">
        <f>IF(COUNT(J30:O30)&gt;0, ROUND(AVERAGE(J30:O30), 0), "")</f>
        <v/>
      </c>
      <c r="R30" s="7" t="inlineStr"/>
    </row>
    <row r="31" ht="20" customHeight="1">
      <c r="A31" s="4" t="inlineStr">
        <is>
          <t>p_new_11</t>
        </is>
      </c>
      <c r="B31" s="4" t="inlineStr"/>
      <c r="C31" s="7" t="inlineStr"/>
      <c r="D31" s="7" t="inlineStr"/>
      <c r="E31" s="4" t="inlineStr"/>
      <c r="F31" s="4" t="inlineStr">
        <is>
          <t>CM</t>
        </is>
      </c>
      <c r="G31" s="4" t="inlineStr"/>
      <c r="H31" s="4" t="inlineStr"/>
      <c r="I31" s="4" t="inlineStr">
        <is>
          <t>오른발</t>
        </is>
      </c>
      <c r="J31" s="4" t="inlineStr"/>
      <c r="K31" s="4" t="inlineStr"/>
      <c r="L31" s="4" t="inlineStr"/>
      <c r="M31" s="4" t="inlineStr"/>
      <c r="N31" s="4" t="inlineStr"/>
      <c r="O31" s="4" t="inlineStr"/>
      <c r="P31" s="9">
        <f>IF(COUNT(J31:O31)&gt;0, SUM(J31:O31), "")</f>
        <v/>
      </c>
      <c r="Q31" s="9">
        <f>IF(COUNT(J31:O31)&gt;0, ROUND(AVERAGE(J31:O31), 0), "")</f>
        <v/>
      </c>
      <c r="R31" s="7" t="inlineStr"/>
    </row>
    <row r="32" ht="20" customHeight="1">
      <c r="A32" s="4" t="inlineStr">
        <is>
          <t>p_new_12</t>
        </is>
      </c>
      <c r="B32" s="4" t="inlineStr"/>
      <c r="C32" s="7" t="inlineStr"/>
      <c r="D32" s="7" t="inlineStr"/>
      <c r="E32" s="4" t="inlineStr"/>
      <c r="F32" s="4" t="inlineStr">
        <is>
          <t>CM</t>
        </is>
      </c>
      <c r="G32" s="4" t="inlineStr"/>
      <c r="H32" s="4" t="inlineStr"/>
      <c r="I32" s="4" t="inlineStr">
        <is>
          <t>오른발</t>
        </is>
      </c>
      <c r="J32" s="4" t="inlineStr"/>
      <c r="K32" s="4" t="inlineStr"/>
      <c r="L32" s="4" t="inlineStr"/>
      <c r="M32" s="4" t="inlineStr"/>
      <c r="N32" s="4" t="inlineStr"/>
      <c r="O32" s="4" t="inlineStr"/>
      <c r="P32" s="9">
        <f>IF(COUNT(J32:O32)&gt;0, SUM(J32:O32), "")</f>
        <v/>
      </c>
      <c r="Q32" s="9">
        <f>IF(COUNT(J32:O32)&gt;0, ROUND(AVERAGE(J32:O32), 0), "")</f>
        <v/>
      </c>
      <c r="R32" s="7" t="inlineStr"/>
    </row>
    <row r="33" ht="20" customHeight="1">
      <c r="A33" s="4" t="inlineStr">
        <is>
          <t>p_new_13</t>
        </is>
      </c>
      <c r="B33" s="4" t="inlineStr"/>
      <c r="C33" s="7" t="inlineStr"/>
      <c r="D33" s="7" t="inlineStr"/>
      <c r="E33" s="4" t="inlineStr"/>
      <c r="F33" s="4" t="inlineStr">
        <is>
          <t>CM</t>
        </is>
      </c>
      <c r="G33" s="4" t="inlineStr"/>
      <c r="H33" s="4" t="inlineStr"/>
      <c r="I33" s="4" t="inlineStr">
        <is>
          <t>오른발</t>
        </is>
      </c>
      <c r="J33" s="4" t="inlineStr"/>
      <c r="K33" s="4" t="inlineStr"/>
      <c r="L33" s="4" t="inlineStr"/>
      <c r="M33" s="4" t="inlineStr"/>
      <c r="N33" s="4" t="inlineStr"/>
      <c r="O33" s="4" t="inlineStr"/>
      <c r="P33" s="9">
        <f>IF(COUNT(J33:O33)&gt;0, SUM(J33:O33), "")</f>
        <v/>
      </c>
      <c r="Q33" s="9">
        <f>IF(COUNT(J33:O33)&gt;0, ROUND(AVERAGE(J33:O33), 0), "")</f>
        <v/>
      </c>
      <c r="R33" s="7" t="inlineStr"/>
    </row>
    <row r="34" ht="20" customHeight="1">
      <c r="A34" s="4" t="inlineStr">
        <is>
          <t>p_new_14</t>
        </is>
      </c>
      <c r="B34" s="4" t="inlineStr"/>
      <c r="C34" s="7" t="inlineStr"/>
      <c r="D34" s="7" t="inlineStr"/>
      <c r="E34" s="4" t="inlineStr"/>
      <c r="F34" s="4" t="inlineStr">
        <is>
          <t>CM</t>
        </is>
      </c>
      <c r="G34" s="4" t="inlineStr"/>
      <c r="H34" s="4" t="inlineStr"/>
      <c r="I34" s="4" t="inlineStr">
        <is>
          <t>오른발</t>
        </is>
      </c>
      <c r="J34" s="4" t="inlineStr"/>
      <c r="K34" s="4" t="inlineStr"/>
      <c r="L34" s="4" t="inlineStr"/>
      <c r="M34" s="4" t="inlineStr"/>
      <c r="N34" s="4" t="inlineStr"/>
      <c r="O34" s="4" t="inlineStr"/>
      <c r="P34" s="9">
        <f>IF(COUNT(J34:O34)&gt;0, SUM(J34:O34), "")</f>
        <v/>
      </c>
      <c r="Q34" s="9">
        <f>IF(COUNT(J34:O34)&gt;0, ROUND(AVERAGE(J34:O34), 0), "")</f>
        <v/>
      </c>
      <c r="R34" s="7" t="inlineStr"/>
    </row>
    <row r="35" ht="20" customHeight="1">
      <c r="A35" s="4" t="inlineStr">
        <is>
          <t>p_new_15</t>
        </is>
      </c>
      <c r="B35" s="4" t="inlineStr"/>
      <c r="C35" s="7" t="inlineStr"/>
      <c r="D35" s="7" t="inlineStr"/>
      <c r="E35" s="4" t="inlineStr"/>
      <c r="F35" s="4" t="inlineStr">
        <is>
          <t>CM</t>
        </is>
      </c>
      <c r="G35" s="4" t="inlineStr"/>
      <c r="H35" s="4" t="inlineStr"/>
      <c r="I35" s="4" t="inlineStr">
        <is>
          <t>오른발</t>
        </is>
      </c>
      <c r="J35" s="4" t="inlineStr"/>
      <c r="K35" s="4" t="inlineStr"/>
      <c r="L35" s="4" t="inlineStr"/>
      <c r="M35" s="4" t="inlineStr"/>
      <c r="N35" s="4" t="inlineStr"/>
      <c r="O35" s="4" t="inlineStr"/>
      <c r="P35" s="9">
        <f>IF(COUNT(J35:O35)&gt;0, SUM(J35:O35), "")</f>
        <v/>
      </c>
      <c r="Q35" s="9">
        <f>IF(COUNT(J35:O35)&gt;0, ROUND(AVERAGE(J35:O35), 0), "")</f>
        <v/>
      </c>
      <c r="R35" s="7" t="inlineStr"/>
    </row>
    <row r="36" ht="20" customHeight="1">
      <c r="A36" s="4" t="inlineStr">
        <is>
          <t>p_new_16</t>
        </is>
      </c>
      <c r="B36" s="4" t="inlineStr"/>
      <c r="C36" s="7" t="inlineStr"/>
      <c r="D36" s="7" t="inlineStr"/>
      <c r="E36" s="4" t="inlineStr"/>
      <c r="F36" s="4" t="inlineStr">
        <is>
          <t>CM</t>
        </is>
      </c>
      <c r="G36" s="4" t="inlineStr"/>
      <c r="H36" s="4" t="inlineStr"/>
      <c r="I36" s="4" t="inlineStr">
        <is>
          <t>오른발</t>
        </is>
      </c>
      <c r="J36" s="4" t="inlineStr"/>
      <c r="K36" s="4" t="inlineStr"/>
      <c r="L36" s="4" t="inlineStr"/>
      <c r="M36" s="4" t="inlineStr"/>
      <c r="N36" s="4" t="inlineStr"/>
      <c r="O36" s="4" t="inlineStr"/>
      <c r="P36" s="9">
        <f>IF(COUNT(J36:O36)&gt;0, SUM(J36:O36), "")</f>
        <v/>
      </c>
      <c r="Q36" s="9">
        <f>IF(COUNT(J36:O36)&gt;0, ROUND(AVERAGE(J36:O36), 0), "")</f>
        <v/>
      </c>
      <c r="R36" s="7" t="inlineStr"/>
    </row>
    <row r="37" ht="20" customHeight="1">
      <c r="A37" s="4" t="inlineStr">
        <is>
          <t>p_new_17</t>
        </is>
      </c>
      <c r="B37" s="4" t="inlineStr"/>
      <c r="C37" s="7" t="inlineStr"/>
      <c r="D37" s="7" t="inlineStr"/>
      <c r="E37" s="4" t="inlineStr"/>
      <c r="F37" s="4" t="inlineStr">
        <is>
          <t>CM</t>
        </is>
      </c>
      <c r="G37" s="4" t="inlineStr"/>
      <c r="H37" s="4" t="inlineStr"/>
      <c r="I37" s="4" t="inlineStr">
        <is>
          <t>오른발</t>
        </is>
      </c>
      <c r="J37" s="4" t="inlineStr"/>
      <c r="K37" s="4" t="inlineStr"/>
      <c r="L37" s="4" t="inlineStr"/>
      <c r="M37" s="4" t="inlineStr"/>
      <c r="N37" s="4" t="inlineStr"/>
      <c r="O37" s="4" t="inlineStr"/>
      <c r="P37" s="9">
        <f>IF(COUNT(J37:O37)&gt;0, SUM(J37:O37), "")</f>
        <v/>
      </c>
      <c r="Q37" s="9">
        <f>IF(COUNT(J37:O37)&gt;0, ROUND(AVERAGE(J37:O37), 0), "")</f>
        <v/>
      </c>
      <c r="R37" s="7" t="inlineStr"/>
    </row>
    <row r="38" ht="20" customHeight="1">
      <c r="A38" s="4" t="inlineStr">
        <is>
          <t>p_new_18</t>
        </is>
      </c>
      <c r="B38" s="4" t="inlineStr"/>
      <c r="C38" s="7" t="inlineStr"/>
      <c r="D38" s="7" t="inlineStr"/>
      <c r="E38" s="4" t="inlineStr"/>
      <c r="F38" s="4" t="inlineStr">
        <is>
          <t>CM</t>
        </is>
      </c>
      <c r="G38" s="4" t="inlineStr"/>
      <c r="H38" s="4" t="inlineStr"/>
      <c r="I38" s="4" t="inlineStr">
        <is>
          <t>오른발</t>
        </is>
      </c>
      <c r="J38" s="4" t="inlineStr"/>
      <c r="K38" s="4" t="inlineStr"/>
      <c r="L38" s="4" t="inlineStr"/>
      <c r="M38" s="4" t="inlineStr"/>
      <c r="N38" s="4" t="inlineStr"/>
      <c r="O38" s="4" t="inlineStr"/>
      <c r="P38" s="9">
        <f>IF(COUNT(J38:O38)&gt;0, SUM(J38:O38), "")</f>
        <v/>
      </c>
      <c r="Q38" s="9">
        <f>IF(COUNT(J38:O38)&gt;0, ROUND(AVERAGE(J38:O38), 0), "")</f>
        <v/>
      </c>
      <c r="R38" s="7" t="inlineStr"/>
    </row>
    <row r="39" ht="20" customHeight="1">
      <c r="A39" s="4" t="inlineStr">
        <is>
          <t>p_new_19</t>
        </is>
      </c>
      <c r="B39" s="4" t="inlineStr"/>
      <c r="C39" s="7" t="inlineStr"/>
      <c r="D39" s="7" t="inlineStr"/>
      <c r="E39" s="4" t="inlineStr"/>
      <c r="F39" s="4" t="inlineStr">
        <is>
          <t>CM</t>
        </is>
      </c>
      <c r="G39" s="4" t="inlineStr"/>
      <c r="H39" s="4" t="inlineStr"/>
      <c r="I39" s="4" t="inlineStr">
        <is>
          <t>오른발</t>
        </is>
      </c>
      <c r="J39" s="4" t="inlineStr"/>
      <c r="K39" s="4" t="inlineStr"/>
      <c r="L39" s="4" t="inlineStr"/>
      <c r="M39" s="4" t="inlineStr"/>
      <c r="N39" s="4" t="inlineStr"/>
      <c r="O39" s="4" t="inlineStr"/>
      <c r="P39" s="9">
        <f>IF(COUNT(J39:O39)&gt;0, SUM(J39:O39), "")</f>
        <v/>
      </c>
      <c r="Q39" s="9">
        <f>IF(COUNT(J39:O39)&gt;0, ROUND(AVERAGE(J39:O39), 0), "")</f>
        <v/>
      </c>
      <c r="R39" s="7" t="inlineStr"/>
    </row>
    <row r="40" ht="20" customHeight="1">
      <c r="A40" s="4" t="inlineStr">
        <is>
          <t>p_new_20</t>
        </is>
      </c>
      <c r="B40" s="4" t="inlineStr"/>
      <c r="C40" s="7" t="inlineStr"/>
      <c r="D40" s="7" t="inlineStr"/>
      <c r="E40" s="4" t="inlineStr"/>
      <c r="F40" s="4" t="inlineStr">
        <is>
          <t>CM</t>
        </is>
      </c>
      <c r="G40" s="4" t="inlineStr"/>
      <c r="H40" s="4" t="inlineStr"/>
      <c r="I40" s="4" t="inlineStr">
        <is>
          <t>오른발</t>
        </is>
      </c>
      <c r="J40" s="4" t="inlineStr"/>
      <c r="K40" s="4" t="inlineStr"/>
      <c r="L40" s="4" t="inlineStr"/>
      <c r="M40" s="4" t="inlineStr"/>
      <c r="N40" s="4" t="inlineStr"/>
      <c r="O40" s="4" t="inlineStr"/>
      <c r="P40" s="9">
        <f>IF(COUNT(J40:O40)&gt;0, SUM(J40:O40), "")</f>
        <v/>
      </c>
      <c r="Q40" s="9">
        <f>IF(COUNT(J40:O40)&gt;0, ROUND(AVERAGE(J40:O40), 0), "")</f>
        <v/>
      </c>
      <c r="R40" s="7" t="inlineStr"/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2026-09-04T07:04:09Z</dcterms:created>
  <dcterms:modified xsi:type="dcterms:W3CDTF">2026-09-04T07:04:09Z</dcterms:modified>
</cp:coreProperties>
</file>